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วิธีใช้" sheetId="1" state="visible" r:id="rId3"/>
    <sheet name="สรุป" sheetId="2" state="visible" r:id="rId4"/>
    <sheet name="บท01" sheetId="3" state="visible" r:id="rId5"/>
    <sheet name="บท02" sheetId="4" state="visible" r:id="rId6"/>
    <sheet name="บท04" sheetId="5" state="visible" r:id="rId7"/>
    <sheet name="บท05" sheetId="6" state="visible" r:id="rId8"/>
    <sheet name="บท07" sheetId="7" state="visible" r:id="rId9"/>
    <sheet name="บท08" sheetId="8" state="visible" r:id="rId10"/>
    <sheet name="บท10" sheetId="9" state="visible" r:id="rId11"/>
    <sheet name="บท11" sheetId="10" state="visible" r:id="rId12"/>
    <sheet name="บท13" sheetId="11" state="visible" r:id="rId13"/>
    <sheet name="บท14" sheetId="12" state="visible" r:id="rId14"/>
    <sheet name="บท15" sheetId="13" state="visible" r:id="rId15"/>
    <sheet name="บท16" sheetId="14" state="visible" r:id="rId16"/>
    <sheet name="บท18" sheetId="15" state="visible" r:id="rId17"/>
    <sheet name="บท19" sheetId="16" state="visible" r:id="rId18"/>
    <sheet name="บท20" sheetId="17" state="visible" r:id="rId19"/>
    <sheet name="บท22" sheetId="18" state="visible" r:id="rId20"/>
    <sheet name="บท23" sheetId="19" state="visible" r:id="rId21"/>
    <sheet name="บท24" sheetId="20" state="visible" r:id="rId22"/>
    <sheet name="ด่าน9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<sst xmlns="http://schemas.openxmlformats.org/spreadsheetml/2006/main" count="4960" uniqueCount="2478">
  <si>
    <t xml:space="preserve">คลังคำศัพท์บทเรียนฝึกพิมพ์ไทย (ร่าง 2)</t>
  </si>
  <si>
    <t xml:space="preserve">แท็บ บทXX = คำสำหรับบทแป้นใหม่นั้น ทุกคำใช้เฉพาะแป้นที่เรียนแล้ว และมีแป้นใหม่ของบทอย่างน้อย 1 ตัว</t>
  </si>
  <si>
    <t xml:space="preserve">ช่องที่แก้ได้: คอลัมน์ E 'เก็บ' (พื้นเหลือง) เลือก ✓ = ใช้ในบทเรียน, ✗ = ไม่ใช้ · เพิ่มคำเองได้ที่แถวว่างท้ายตาราง</t>
  </si>
  <si>
    <t xml:space="preserve">ตัดคำหยาบ/ไม่เหมาะกับเด็ก และคำสะกดผิดออกแล้ว คำที่เหลือตั้งเป็น ✓ ทั้งหมด · คอลัมน์ F ใช้จดหมายเหตุเอง</t>
  </si>
  <si>
    <t xml:space="preserve">ความถี่หนังสือเรียน = จำนวนครั้งที่พบใน Thai Textbook Corpus (TTC) ของ PyThaiNLP · ความถี่ทั่วไป = Thai National Corpus (TNC)</t>
  </si>
  <si>
    <t xml:space="preserve">บทที่มีคำมาก แสดงเฉพาะ 150 คำแรกที่พบบ่อยในหนังสือเรียน · คำที่พบในหนังสือเรียนน้อยกว่า 5 ครั้งไม่ได้ใส่ไว้</t>
  </si>
  <si>
    <t xml:space="preserve">บทบอส (3, 6, 9, 12, 17, 21, 25) ไม่มีแท็บแยก — สุ่มจากคำ ✓ ของทุกบทก่อนหน้ารวมกัน</t>
  </si>
  <si>
    <t xml:space="preserve">ด่าน 8 (บท 26–29 เลขไทย/เครื่องหมาย) ไม่ใช้คลังคำ — สร้างจากรูปแบบ เช่น ๑๒ ฿๕๐ (ต่อ) ทำไม?</t>
  </si>
  <si>
    <t xml:space="preserve">แท็บ 'ด่าน9' = ข้อความยาวของบท 30–34 · คอลัมน์ 'ใช้' เลือก ✓/✗ · เพิ่มข้อความเองได้ที่แถวว่าง (ห้ามมี : ! % _ และเลขอารบิก เพราะไม่มีบนแป้นเกษมณีฝั่งไทย)</t>
  </si>
  <si>
    <t xml:space="preserve">แท็บ 'สรุป' นับจำนวนคำ/ชุดข้อความ ✓ ของแต่ละบทให้อัตโนมัติ — เป้า: บทคำศัพท์ ≥40 คำ, ด่าน 9 ≥4 ชุดต่อบท</t>
  </si>
  <si>
    <t xml:space="preserve">ตัวอย่างแถว:</t>
  </si>
  <si>
    <t xml:space="preserve">ลำดับ</t>
  </si>
  <si>
    <t xml:space="preserve">คำ</t>
  </si>
  <si>
    <t xml:space="preserve">ความถี่หนังสือเรียน</t>
  </si>
  <si>
    <t xml:space="preserve">ความถี่ทั่วไป</t>
  </si>
  <si>
    <t xml:space="preserve">เก็บ</t>
  </si>
  <si>
    <t xml:space="preserve">หมายเหตุ</t>
  </si>
  <si>
    <t xml:space="preserve">1</t>
  </si>
  <si>
    <t xml:space="preserve">ดาว</t>
  </si>
  <si>
    <t xml:space="preserve">339</t>
  </si>
  <si>
    <t xml:space="preserve">—</t>
  </si>
  <si>
    <t xml:space="preserve">✓</t>
  </si>
  <si>
    <t xml:space="preserve">(ว่าง หรือบันทึกของครู)</t>
  </si>
  <si>
    <t xml:space="preserve">บท</t>
  </si>
  <si>
    <t xml:space="preserve">ด่าน</t>
  </si>
  <si>
    <t xml:space="preserve">แป้นใหม่ / เนื้อหา</t>
  </si>
  <si>
    <t xml:space="preserve">แท็บ</t>
  </si>
  <si>
    <t xml:space="preserve">จำนวน ✓</t>
  </si>
  <si>
    <t xml:space="preserve">สถานะ</t>
  </si>
  <si>
    <t xml:space="preserve">ห ด า ว</t>
  </si>
  <si>
    <t xml:space="preserve">บท01</t>
  </si>
  <si>
    <t xml:space="preserve">ก ส ่ ฟ</t>
  </si>
  <si>
    <t xml:space="preserve">บท02</t>
  </si>
  <si>
    <t xml:space="preserve">บอส: รวมคำจากบทก่อนหน้า</t>
  </si>
  <si>
    <t xml:space="preserve">เ ง ร</t>
  </si>
  <si>
    <t xml:space="preserve">บท04</t>
  </si>
  <si>
    <t xml:space="preserve">้ ำ ไ</t>
  </si>
  <si>
    <t xml:space="preserve">บท05</t>
  </si>
  <si>
    <t xml:space="preserve">พ ะ ม น</t>
  </si>
  <si>
    <t xml:space="preserve">บท07</t>
  </si>
  <si>
    <t xml:space="preserve">ั ี แ ป</t>
  </si>
  <si>
    <t xml:space="preserve">บท08</t>
  </si>
  <si>
    <t xml:space="preserve">อ ิ ย ใ</t>
  </si>
  <si>
    <t xml:space="preserve">บท10</t>
  </si>
  <si>
    <t xml:space="preserve">ท ื ผ ๆ</t>
  </si>
  <si>
    <t xml:space="preserve">บท11</t>
  </si>
  <si>
    <t xml:space="preserve">บ ล ฝ</t>
  </si>
  <si>
    <t xml:space="preserve">บท13</t>
  </si>
  <si>
    <t xml:space="preserve">ค ต ถ ภ</t>
  </si>
  <si>
    <t xml:space="preserve">บท14</t>
  </si>
  <si>
    <t xml:space="preserve">ุ ึ</t>
  </si>
  <si>
    <t xml:space="preserve">บท15</t>
  </si>
  <si>
    <t xml:space="preserve">จ ข ช</t>
  </si>
  <si>
    <t xml:space="preserve">บท16</t>
  </si>
  <si>
    <t xml:space="preserve">โ ธ ณ</t>
  </si>
  <si>
    <t xml:space="preserve">บท18</t>
  </si>
  <si>
    <t xml:space="preserve">็ ์ ฉ</t>
  </si>
  <si>
    <t xml:space="preserve">บท19</t>
  </si>
  <si>
    <t xml:space="preserve">ซ ญ ศ ฮ</t>
  </si>
  <si>
    <t xml:space="preserve">บท20</t>
  </si>
  <si>
    <t xml:space="preserve">ู ษ ฒ ฆ</t>
  </si>
  <si>
    <t xml:space="preserve">บท22</t>
  </si>
  <si>
    <t xml:space="preserve">๊ ๋ ฏ ฐ</t>
  </si>
  <si>
    <t xml:space="preserve">บท23</t>
  </si>
  <si>
    <t xml:space="preserve">ฎ ฑ ฌ ฬ ฤ ฯ</t>
  </si>
  <si>
    <t xml:space="preserve">บท24</t>
  </si>
  <si>
    <t xml:space="preserve">ประโยคเดี่ยว · 2 นาที</t>
  </si>
  <si>
    <t xml:space="preserve">ด่าน9</t>
  </si>
  <si>
    <t xml:space="preserve">นิทาน/เรื่องเล่า · 3 นาที</t>
  </si>
  <si>
    <t xml:space="preserve">ความรู้ข้ามวิชา · 3 นาที</t>
  </si>
  <si>
    <t xml:space="preserve">ตัวเลข เครื่องหมาย วันที่ · 4 นาที</t>
  </si>
  <si>
    <t xml:space="preserve">👑 บอสสุดท้าย · 5 นาที</t>
  </si>
  <si>
    <t xml:space="preserve">บท 1 · ด่าน 1 · แป้นใหม่: ห ด า ว</t>
  </si>
  <si>
    <t xml:space="preserve">หา</t>
  </si>
  <si>
    <t xml:space="preserve">วาด</t>
  </si>
  <si>
    <t xml:space="preserve">วา</t>
  </si>
  <si>
    <t xml:space="preserve">หาด</t>
  </si>
  <si>
    <t xml:space="preserve">ดา</t>
  </si>
  <si>
    <t xml:space="preserve">ดาหา</t>
  </si>
  <si>
    <t xml:space="preserve">หด</t>
  </si>
  <si>
    <t xml:space="preserve">หวาด</t>
  </si>
  <si>
    <t xml:space="preserve">หวด</t>
  </si>
  <si>
    <t xml:space="preserve">หาว</t>
  </si>
  <si>
    <t xml:space="preserve">หวา</t>
  </si>
  <si>
    <t xml:space="preserve">วาว</t>
  </si>
  <si>
    <t xml:space="preserve">ดาด</t>
  </si>
  <si>
    <t xml:space="preserve">ดวด</t>
  </si>
  <si>
    <t xml:space="preserve">บท 2 · ด่าน 1 · แป้นใหม่: ก ส ่ ฟ</t>
  </si>
  <si>
    <t xml:space="preserve">ว่า</t>
  </si>
  <si>
    <t xml:space="preserve">กว่า</t>
  </si>
  <si>
    <t xml:space="preserve">สาว</t>
  </si>
  <si>
    <t xml:space="preserve">หาก</t>
  </si>
  <si>
    <t xml:space="preserve">กา</t>
  </si>
  <si>
    <t xml:space="preserve">หก</t>
  </si>
  <si>
    <t xml:space="preserve">สา</t>
  </si>
  <si>
    <t xml:space="preserve">สด</t>
  </si>
  <si>
    <t xml:space="preserve">กวาด</t>
  </si>
  <si>
    <t xml:space="preserve">กด</t>
  </si>
  <si>
    <t xml:space="preserve">กก</t>
  </si>
  <si>
    <t xml:space="preserve">ฟาด</t>
  </si>
  <si>
    <t xml:space="preserve">กาด</t>
  </si>
  <si>
    <t xml:space="preserve">สวด</t>
  </si>
  <si>
    <t xml:space="preserve">ฟาก</t>
  </si>
  <si>
    <t xml:space="preserve">สาด</t>
  </si>
  <si>
    <t xml:space="preserve">ว่าว</t>
  </si>
  <si>
    <t xml:space="preserve">ดก</t>
  </si>
  <si>
    <t xml:space="preserve">วก</t>
  </si>
  <si>
    <t xml:space="preserve">หว่า</t>
  </si>
  <si>
    <t xml:space="preserve">กวด</t>
  </si>
  <si>
    <t xml:space="preserve">สาวก</t>
  </si>
  <si>
    <t xml:space="preserve">หากว่า</t>
  </si>
  <si>
    <t xml:space="preserve">สาก</t>
  </si>
  <si>
    <t xml:space="preserve">กาว</t>
  </si>
  <si>
    <t xml:space="preserve">กาก</t>
  </si>
  <si>
    <t xml:space="preserve">ส่า</t>
  </si>
  <si>
    <t xml:space="preserve">สก</t>
  </si>
  <si>
    <t xml:space="preserve">ฟก</t>
  </si>
  <si>
    <t xml:space="preserve">บท 4 · ด่าน 2 · แป้นใหม่: เ ง ร</t>
  </si>
  <si>
    <t xml:space="preserve">การ</t>
  </si>
  <si>
    <t xml:space="preserve">เรา</t>
  </si>
  <si>
    <t xml:space="preserve">ส่ง</t>
  </si>
  <si>
    <t xml:space="preserve">วาง</t>
  </si>
  <si>
    <t xml:space="preserve">สาร</t>
  </si>
  <si>
    <t xml:space="preserve">เก่ง</t>
  </si>
  <si>
    <t xml:space="preserve">เก่า</t>
  </si>
  <si>
    <t xml:space="preserve">หาง</t>
  </si>
  <si>
    <t xml:space="preserve">สงสาร</t>
  </si>
  <si>
    <t xml:space="preserve">เกรง</t>
  </si>
  <si>
    <t xml:space="preserve">ดวง</t>
  </si>
  <si>
    <t xml:space="preserve">ห่าง</t>
  </si>
  <si>
    <t xml:space="preserve">กวาง</t>
  </si>
  <si>
    <t xml:space="preserve">ร่าง</t>
  </si>
  <si>
    <t xml:space="preserve">วง</t>
  </si>
  <si>
    <t xml:space="preserve">รส</t>
  </si>
  <si>
    <t xml:space="preserve">ห่วง</t>
  </si>
  <si>
    <t xml:space="preserve">ราว</t>
  </si>
  <si>
    <t xml:space="preserve">รา</t>
  </si>
  <si>
    <t xml:space="preserve">ว่าง</t>
  </si>
  <si>
    <t xml:space="preserve">สว่าง</t>
  </si>
  <si>
    <t xml:space="preserve">รด</t>
  </si>
  <si>
    <t xml:space="preserve">เสา</t>
  </si>
  <si>
    <t xml:space="preserve">เร่ง</t>
  </si>
  <si>
    <t xml:space="preserve">กางเกง</t>
  </si>
  <si>
    <t xml:space="preserve">เงา</t>
  </si>
  <si>
    <t xml:space="preserve">ดง</t>
  </si>
  <si>
    <t xml:space="preserve">งา</t>
  </si>
  <si>
    <t xml:space="preserve">ราง</t>
  </si>
  <si>
    <t xml:space="preserve">เก</t>
  </si>
  <si>
    <t xml:space="preserve">กร</t>
  </si>
  <si>
    <t xml:space="preserve">ราก</t>
  </si>
  <si>
    <t xml:space="preserve">ร่วง</t>
  </si>
  <si>
    <t xml:space="preserve">สง่า</t>
  </si>
  <si>
    <t xml:space="preserve">เกเร</t>
  </si>
  <si>
    <t xml:space="preserve">เห่า</t>
  </si>
  <si>
    <t xml:space="preserve">ฟาง</t>
  </si>
  <si>
    <t xml:space="preserve">เวร</t>
  </si>
  <si>
    <t xml:space="preserve">เดา</t>
  </si>
  <si>
    <t xml:space="preserve">กรง</t>
  </si>
  <si>
    <t xml:space="preserve">งง</t>
  </si>
  <si>
    <t xml:space="preserve">รก</t>
  </si>
  <si>
    <t xml:space="preserve">ง่วง</t>
  </si>
  <si>
    <t xml:space="preserve">กาเหว่า</t>
  </si>
  <si>
    <t xml:space="preserve">เหงา</t>
  </si>
  <si>
    <t xml:space="preserve">กาง</t>
  </si>
  <si>
    <t xml:space="preserve">เห่</t>
  </si>
  <si>
    <t xml:space="preserve">รวง</t>
  </si>
  <si>
    <t xml:space="preserve">งวง</t>
  </si>
  <si>
    <t xml:space="preserve">เกสร</t>
  </si>
  <si>
    <t xml:space="preserve">เส</t>
  </si>
  <si>
    <t xml:space="preserve">หวง</t>
  </si>
  <si>
    <t xml:space="preserve">สาง</t>
  </si>
  <si>
    <t xml:space="preserve">เร่</t>
  </si>
  <si>
    <t xml:space="preserve">กรวด</t>
  </si>
  <si>
    <t xml:space="preserve">สรง</t>
  </si>
  <si>
    <t xml:space="preserve">กง</t>
  </si>
  <si>
    <t xml:space="preserve">ดวงดาว</t>
  </si>
  <si>
    <t xml:space="preserve">เห</t>
  </si>
  <si>
    <t xml:space="preserve">งด</t>
  </si>
  <si>
    <t xml:space="preserve">ราด</t>
  </si>
  <si>
    <t xml:space="preserve">เกา</t>
  </si>
  <si>
    <t xml:space="preserve">ร่า</t>
  </si>
  <si>
    <t xml:space="preserve">สง</t>
  </si>
  <si>
    <t xml:space="preserve">ดาวหาง</t>
  </si>
  <si>
    <t xml:space="preserve">สรร</t>
  </si>
  <si>
    <t xml:space="preserve">เหว</t>
  </si>
  <si>
    <t xml:space="preserve">หาร</t>
  </si>
  <si>
    <t xml:space="preserve">กราว</t>
  </si>
  <si>
    <t xml:space="preserve">ด่าง</t>
  </si>
  <si>
    <t xml:space="preserve">สร่าง</t>
  </si>
  <si>
    <t xml:space="preserve">วงการ</t>
  </si>
  <si>
    <t xml:space="preserve">กราก</t>
  </si>
  <si>
    <t xml:space="preserve">หว่าง</t>
  </si>
  <si>
    <t xml:space="preserve">เสก</t>
  </si>
  <si>
    <t xml:space="preserve">ดารา</t>
  </si>
  <si>
    <t xml:space="preserve">วารสาร</t>
  </si>
  <si>
    <t xml:space="preserve">ง่า</t>
  </si>
  <si>
    <t xml:space="preserve">วาร</t>
  </si>
  <si>
    <t xml:space="preserve">เสวก</t>
  </si>
  <si>
    <t xml:space="preserve">กรด</t>
  </si>
  <si>
    <t xml:space="preserve">กราด</t>
  </si>
  <si>
    <t xml:space="preserve">กรร</t>
  </si>
  <si>
    <t xml:space="preserve">รง</t>
  </si>
  <si>
    <t xml:space="preserve">งก</t>
  </si>
  <si>
    <t xml:space="preserve">กงการ</t>
  </si>
  <si>
    <t xml:space="preserve">กาสร</t>
  </si>
  <si>
    <t xml:space="preserve">สรวง</t>
  </si>
  <si>
    <t xml:space="preserve">เหา</t>
  </si>
  <si>
    <t xml:space="preserve">งวด</t>
  </si>
  <si>
    <t xml:space="preserve">ดร</t>
  </si>
  <si>
    <t xml:space="preserve">หง่าว</t>
  </si>
  <si>
    <t xml:space="preserve">รวด</t>
  </si>
  <si>
    <t xml:space="preserve">กราฟ</t>
  </si>
  <si>
    <t xml:space="preserve">เวหา</t>
  </si>
  <si>
    <t xml:space="preserve">เหง่ง</t>
  </si>
  <si>
    <t xml:space="preserve">เง่า</t>
  </si>
  <si>
    <t xml:space="preserve">หรา</t>
  </si>
  <si>
    <t xml:space="preserve">สรรหา</t>
  </si>
  <si>
    <t xml:space="preserve">กว่าง</t>
  </si>
  <si>
    <t xml:space="preserve">เหง</t>
  </si>
  <si>
    <t xml:space="preserve">หง่าง</t>
  </si>
  <si>
    <t xml:space="preserve">เกด</t>
  </si>
  <si>
    <t xml:space="preserve">กร่าง</t>
  </si>
  <si>
    <t xml:space="preserve">หางว่าว</t>
  </si>
  <si>
    <t xml:space="preserve">สงกา</t>
  </si>
  <si>
    <t xml:space="preserve">เร่า</t>
  </si>
  <si>
    <t xml:space="preserve">เหว่</t>
  </si>
  <si>
    <t xml:space="preserve">เสกสรร</t>
  </si>
  <si>
    <t xml:space="preserve">ง่วงเหงา</t>
  </si>
  <si>
    <t xml:space="preserve">บท 5 · ด่าน 2 · แป้นใหม่: ้ ำ ไ</t>
  </si>
  <si>
    <t xml:space="preserve">ได้</t>
  </si>
  <si>
    <t xml:space="preserve">ไว้</t>
  </si>
  <si>
    <t xml:space="preserve">สร้าง</t>
  </si>
  <si>
    <t xml:space="preserve">ไก่</t>
  </si>
  <si>
    <t xml:space="preserve">ไฟ</t>
  </si>
  <si>
    <t xml:space="preserve">ดำ</t>
  </si>
  <si>
    <t xml:space="preserve">ห้า</t>
  </si>
  <si>
    <t xml:space="preserve">ไร่</t>
  </si>
  <si>
    <t xml:space="preserve">ฟ้า</t>
  </si>
  <si>
    <t xml:space="preserve">ไหว้</t>
  </si>
  <si>
    <t xml:space="preserve">ไร</t>
  </si>
  <si>
    <t xml:space="preserve">กว้าง</t>
  </si>
  <si>
    <t xml:space="preserve">ไหว</t>
  </si>
  <si>
    <t xml:space="preserve">รำ</t>
  </si>
  <si>
    <t xml:space="preserve">ไง</t>
  </si>
  <si>
    <t xml:space="preserve">ก้าว</t>
  </si>
  <si>
    <t xml:space="preserve">ไร้</t>
  </si>
  <si>
    <t xml:space="preserve">ไว</t>
  </si>
  <si>
    <t xml:space="preserve">ดำรง</t>
  </si>
  <si>
    <t xml:space="preserve">ไฟฟ้า</t>
  </si>
  <si>
    <t xml:space="preserve">กำ</t>
  </si>
  <si>
    <t xml:space="preserve">เก้า</t>
  </si>
  <si>
    <t xml:space="preserve">ร่ำ</t>
  </si>
  <si>
    <t xml:space="preserve">ร้าง</t>
  </si>
  <si>
    <t xml:space="preserve">กำไร</t>
  </si>
  <si>
    <t xml:space="preserve">หว้า</t>
  </si>
  <si>
    <t xml:space="preserve">เก้ง</t>
  </si>
  <si>
    <t xml:space="preserve">ไห</t>
  </si>
  <si>
    <t xml:space="preserve">เร้า</t>
  </si>
  <si>
    <t xml:space="preserve">ไส้</t>
  </si>
  <si>
    <t xml:space="preserve">ไกร</t>
  </si>
  <si>
    <t xml:space="preserve">ดาดฟ้า</t>
  </si>
  <si>
    <t xml:space="preserve">กรรไกร</t>
  </si>
  <si>
    <t xml:space="preserve">ไส</t>
  </si>
  <si>
    <t xml:space="preserve">ห้วง</t>
  </si>
  <si>
    <t xml:space="preserve">ว้าเหว่</t>
  </si>
  <si>
    <t xml:space="preserve">สำ</t>
  </si>
  <si>
    <t xml:space="preserve">ไกว</t>
  </si>
  <si>
    <t xml:space="preserve">ก้าวร้าว</t>
  </si>
  <si>
    <t xml:space="preserve">สว่างไสว</t>
  </si>
  <si>
    <t xml:space="preserve">รำวง</t>
  </si>
  <si>
    <t xml:space="preserve">ห้าง</t>
  </si>
  <si>
    <t xml:space="preserve">ร่ำไร</t>
  </si>
  <si>
    <t xml:space="preserve">ไห้</t>
  </si>
  <si>
    <t xml:space="preserve">ก่ำ</t>
  </si>
  <si>
    <t xml:space="preserve">ฟากฟ้า</t>
  </si>
  <si>
    <t xml:space="preserve">ไสว</t>
  </si>
  <si>
    <t xml:space="preserve">กรำ</t>
  </si>
  <si>
    <t xml:space="preserve">ว้า</t>
  </si>
  <si>
    <t xml:space="preserve">ห้าว</t>
  </si>
  <si>
    <t xml:space="preserve">ร้าว</t>
  </si>
  <si>
    <t xml:space="preserve">เก้งก้าง</t>
  </si>
  <si>
    <t xml:space="preserve">เว้า</t>
  </si>
  <si>
    <t xml:space="preserve">ไสร้</t>
  </si>
  <si>
    <t xml:space="preserve">ด้วง</t>
  </si>
  <si>
    <t xml:space="preserve">เร่งเร้า</t>
  </si>
  <si>
    <t xml:space="preserve">ส่ำ</t>
  </si>
  <si>
    <t xml:space="preserve">ไก่ฟ้า</t>
  </si>
  <si>
    <t xml:space="preserve">ไก</t>
  </si>
  <si>
    <t xml:space="preserve">เรไร</t>
  </si>
  <si>
    <t xml:space="preserve">กำสรด</t>
  </si>
  <si>
    <t xml:space="preserve">กร่ำ</t>
  </si>
  <si>
    <t xml:space="preserve">หวาดไหว</t>
  </si>
  <si>
    <t xml:space="preserve">ร่ำไห้</t>
  </si>
  <si>
    <t xml:space="preserve">รำไร</t>
  </si>
  <si>
    <t xml:space="preserve">กร้าว</t>
  </si>
  <si>
    <t xml:space="preserve">ก้าง</t>
  </si>
  <si>
    <t xml:space="preserve">ว้าง</t>
  </si>
  <si>
    <t xml:space="preserve">ง้าว</t>
  </si>
  <si>
    <t xml:space="preserve">เหง้า</t>
  </si>
  <si>
    <t xml:space="preserve">ง้าง</t>
  </si>
  <si>
    <t xml:space="preserve">ร้า</t>
  </si>
  <si>
    <t xml:space="preserve">ง้ำ</t>
  </si>
  <si>
    <t xml:space="preserve">เร้ว</t>
  </si>
  <si>
    <t xml:space="preserve">รากเหง้า</t>
  </si>
  <si>
    <t xml:space="preserve">รกร้าง</t>
  </si>
  <si>
    <t xml:space="preserve">กำเดา</t>
  </si>
  <si>
    <t xml:space="preserve">ไกรสร</t>
  </si>
  <si>
    <t xml:space="preserve">ด้ง</t>
  </si>
  <si>
    <t xml:space="preserve">ส้าง</t>
  </si>
  <si>
    <t xml:space="preserve">ด้าว</t>
  </si>
  <si>
    <t xml:space="preserve">บท 7 · ด่าน 3 · แป้นใหม่: พ ะ ม น</t>
  </si>
  <si>
    <t xml:space="preserve">ไม่</t>
  </si>
  <si>
    <t xml:space="preserve">มา</t>
  </si>
  <si>
    <t xml:space="preserve">มาก</t>
  </si>
  <si>
    <t xml:space="preserve">เพราะ</t>
  </si>
  <si>
    <t xml:space="preserve">พระ</t>
  </si>
  <si>
    <t xml:space="preserve">น้ำ</t>
  </si>
  <si>
    <t xml:space="preserve">หน้า</t>
  </si>
  <si>
    <t xml:space="preserve">งาน</t>
  </si>
  <si>
    <t xml:space="preserve">นำ</t>
  </si>
  <si>
    <t xml:space="preserve">พวก</t>
  </si>
  <si>
    <t xml:space="preserve">พา</t>
  </si>
  <si>
    <t xml:space="preserve">ส่วน</t>
  </si>
  <si>
    <t xml:space="preserve">นก</t>
  </si>
  <si>
    <t xml:space="preserve">นะ</t>
  </si>
  <si>
    <t xml:space="preserve">น่า</t>
  </si>
  <si>
    <t xml:space="preserve">ไม้</t>
  </si>
  <si>
    <t xml:space="preserve">สาม</t>
  </si>
  <si>
    <t xml:space="preserve">หมด</t>
  </si>
  <si>
    <t xml:space="preserve">นาง</t>
  </si>
  <si>
    <t xml:space="preserve">ไหน</t>
  </si>
  <si>
    <t xml:space="preserve">ไหม</t>
  </si>
  <si>
    <t xml:space="preserve">นาน</t>
  </si>
  <si>
    <t xml:space="preserve">หมา</t>
  </si>
  <si>
    <t xml:space="preserve">ด้าน</t>
  </si>
  <si>
    <t xml:space="preserve">ระหว่าง</t>
  </si>
  <si>
    <t xml:space="preserve">ร่วม</t>
  </si>
  <si>
    <t xml:space="preserve">นา</t>
  </si>
  <si>
    <t xml:space="preserve">ม้า</t>
  </si>
  <si>
    <t xml:space="preserve">น่ะ</t>
  </si>
  <si>
    <t xml:space="preserve">งาม</t>
  </si>
  <si>
    <t xml:space="preserve">รวม</t>
  </si>
  <si>
    <t xml:space="preserve">นาม</t>
  </si>
  <si>
    <t xml:space="preserve">สวน</t>
  </si>
  <si>
    <t xml:space="preserve">ร้าน</t>
  </si>
  <si>
    <t xml:space="preserve">สระ</t>
  </si>
  <si>
    <t xml:space="preserve">พวกเรา</t>
  </si>
  <si>
    <t xml:space="preserve">มารดา</t>
  </si>
  <si>
    <t xml:space="preserve">เกาะ</t>
  </si>
  <si>
    <t xml:space="preserve">กำหนด</t>
  </si>
  <si>
    <t xml:space="preserve">สม</t>
  </si>
  <si>
    <t xml:space="preserve">พ้น</t>
  </si>
  <si>
    <t xml:space="preserve">มหา</t>
  </si>
  <si>
    <t xml:space="preserve">พม่า</t>
  </si>
  <si>
    <t xml:space="preserve">สำนวน</t>
  </si>
  <si>
    <t xml:space="preserve">เหมาะสม</t>
  </si>
  <si>
    <t xml:space="preserve">กะ</t>
  </si>
  <si>
    <t xml:space="preserve">กรรม</t>
  </si>
  <si>
    <t xml:space="preserve">สวม</t>
  </si>
  <si>
    <t xml:space="preserve">สะดวก</t>
  </si>
  <si>
    <t xml:space="preserve">ห้าม</t>
  </si>
  <si>
    <t xml:space="preserve">ไพเราะ</t>
  </si>
  <si>
    <t xml:space="preserve">เส้น</t>
  </si>
  <si>
    <t xml:space="preserve">ก้ม</t>
  </si>
  <si>
    <t xml:space="preserve">สรรพนาม</t>
  </si>
  <si>
    <t xml:space="preserve">เหมาะ</t>
  </si>
  <si>
    <t xml:space="preserve">หนาว</t>
  </si>
  <si>
    <t xml:space="preserve">นม</t>
  </si>
  <si>
    <t xml:space="preserve">ระ</t>
  </si>
  <si>
    <t xml:space="preserve">สนาม</t>
  </si>
  <si>
    <t xml:space="preserve">งดงาม</t>
  </si>
  <si>
    <t xml:space="preserve">หนา</t>
  </si>
  <si>
    <t xml:space="preserve">ร่ม</t>
  </si>
  <si>
    <t xml:space="preserve">เว้น</t>
  </si>
  <si>
    <t xml:space="preserve">กระไร</t>
  </si>
  <si>
    <t xml:space="preserve">กระ</t>
  </si>
  <si>
    <t xml:space="preserve">หน</t>
  </si>
  <si>
    <t xml:space="preserve">หวาน</t>
  </si>
  <si>
    <t xml:space="preserve">หมาก</t>
  </si>
  <si>
    <t xml:space="preserve">มะพร้าว</t>
  </si>
  <si>
    <t xml:space="preserve">กรม</t>
  </si>
  <si>
    <t xml:space="preserve">น้า</t>
  </si>
  <si>
    <t xml:space="preserve">สาระ</t>
  </si>
  <si>
    <t xml:space="preserve">ส่วนมาก</t>
  </si>
  <si>
    <t xml:space="preserve">สะพาน</t>
  </si>
  <si>
    <t xml:space="preserve">มะม่วง</t>
  </si>
  <si>
    <t xml:space="preserve">เพราะว่า</t>
  </si>
  <si>
    <t xml:space="preserve">พร</t>
  </si>
  <si>
    <t xml:space="preserve">สะกด</t>
  </si>
  <si>
    <t xml:space="preserve">การงาน</t>
  </si>
  <si>
    <t xml:space="preserve">หมวก</t>
  </si>
  <si>
    <t xml:space="preserve">ไหม้</t>
  </si>
  <si>
    <t xml:space="preserve">เน้น</t>
  </si>
  <si>
    <t xml:space="preserve">ก้าวหน้า</t>
  </si>
  <si>
    <t xml:space="preserve">นานา</t>
  </si>
  <si>
    <t xml:space="preserve">สมาส</t>
  </si>
  <si>
    <t xml:space="preserve">พราน</t>
  </si>
  <si>
    <t xml:space="preserve">ห่ม</t>
  </si>
  <si>
    <t xml:space="preserve">วะ</t>
  </si>
  <si>
    <t xml:space="preserve">สาน</t>
  </si>
  <si>
    <t xml:space="preserve">ห่าน</t>
  </si>
  <si>
    <t xml:space="preserve">ก้าน</t>
  </si>
  <si>
    <t xml:space="preserve">สะ</t>
  </si>
  <si>
    <t xml:space="preserve">วาน</t>
  </si>
  <si>
    <t xml:space="preserve">เสนา</t>
  </si>
  <si>
    <t xml:space="preserve">ส้ม</t>
  </si>
  <si>
    <t xml:space="preserve">หนวด</t>
  </si>
  <si>
    <t xml:space="preserve">ก้น</t>
  </si>
  <si>
    <t xml:space="preserve">พระนาง</t>
  </si>
  <si>
    <t xml:space="preserve">ดม</t>
  </si>
  <si>
    <t xml:space="preserve">เด่น</t>
  </si>
  <si>
    <t xml:space="preserve">สะสม</t>
  </si>
  <si>
    <t xml:space="preserve">ส่วนรวม</t>
  </si>
  <si>
    <t xml:space="preserve">เงาะ</t>
  </si>
  <si>
    <t xml:space="preserve">ราม</t>
  </si>
  <si>
    <t xml:space="preserve">มด</t>
  </si>
  <si>
    <t xml:space="preserve">สรรพ</t>
  </si>
  <si>
    <t xml:space="preserve">เกราะ</t>
  </si>
  <si>
    <t xml:space="preserve">ม่าน</t>
  </si>
  <si>
    <t xml:space="preserve">กวน</t>
  </si>
  <si>
    <t xml:space="preserve">เพรา</t>
  </si>
  <si>
    <t xml:space="preserve">เน่า</t>
  </si>
  <si>
    <t xml:space="preserve">กรรมการ</t>
  </si>
  <si>
    <t xml:space="preserve">นางฟ้า</t>
  </si>
  <si>
    <t xml:space="preserve">วน</t>
  </si>
  <si>
    <t xml:space="preserve">เหาะ</t>
  </si>
  <si>
    <t xml:space="preserve">พวง</t>
  </si>
  <si>
    <t xml:space="preserve">ด่วน</t>
  </si>
  <si>
    <t xml:space="preserve">ไพร</t>
  </si>
  <si>
    <t xml:space="preserve">มรดก</t>
  </si>
  <si>
    <t xml:space="preserve">หนาม</t>
  </si>
  <si>
    <t xml:space="preserve">วาระ</t>
  </si>
  <si>
    <t xml:space="preserve">พาน</t>
  </si>
  <si>
    <t xml:space="preserve">นรก</t>
  </si>
  <si>
    <t xml:space="preserve">วานร</t>
  </si>
  <si>
    <t xml:space="preserve">พ่น</t>
  </si>
  <si>
    <t xml:space="preserve">พนม</t>
  </si>
  <si>
    <t xml:space="preserve">หาไม่</t>
  </si>
  <si>
    <t xml:space="preserve">เกม</t>
  </si>
  <si>
    <t xml:space="preserve">กระดาน</t>
  </si>
  <si>
    <t xml:space="preserve">เพ่ง</t>
  </si>
  <si>
    <t xml:space="preserve">มานะ</t>
  </si>
  <si>
    <t xml:space="preserve">มาร</t>
  </si>
  <si>
    <t xml:space="preserve">ม้วน</t>
  </si>
  <si>
    <t xml:space="preserve">สำรวม</t>
  </si>
  <si>
    <t xml:space="preserve">พาด</t>
  </si>
  <si>
    <t xml:space="preserve">วาสนา</t>
  </si>
  <si>
    <t xml:space="preserve">สงวน</t>
  </si>
  <si>
    <t xml:space="preserve">หวน</t>
  </si>
  <si>
    <t xml:space="preserve">พง</t>
  </si>
  <si>
    <t xml:space="preserve">กระด้าง</t>
  </si>
  <si>
    <t xml:space="preserve">ม่วง</t>
  </si>
  <si>
    <t xml:space="preserve">เกะกะ</t>
  </si>
  <si>
    <t xml:space="preserve">เพดาน</t>
  </si>
  <si>
    <t xml:space="preserve">พราก</t>
  </si>
  <si>
    <t xml:space="preserve">มะนาว</t>
  </si>
  <si>
    <t xml:space="preserve">พะ</t>
  </si>
  <si>
    <t xml:space="preserve">มหรสพ</t>
  </si>
  <si>
    <t xml:space="preserve">กรรมกร</t>
  </si>
  <si>
    <t xml:space="preserve">ไพร่</t>
  </si>
  <si>
    <t xml:space="preserve">บท 8 · ด่าน 3 · แป้นใหม่: ั ี แ ป</t>
  </si>
  <si>
    <t xml:space="preserve">ไป</t>
  </si>
  <si>
    <t xml:space="preserve">มี</t>
  </si>
  <si>
    <t xml:space="preserve">กัน</t>
  </si>
  <si>
    <t xml:space="preserve">นั้น</t>
  </si>
  <si>
    <t xml:space="preserve">นี้</t>
  </si>
  <si>
    <t xml:space="preserve">แม่</t>
  </si>
  <si>
    <t xml:space="preserve">มัน</t>
  </si>
  <si>
    <t xml:space="preserve">ดี</t>
  </si>
  <si>
    <t xml:space="preserve">วัน</t>
  </si>
  <si>
    <t xml:space="preserve">ฟัง</t>
  </si>
  <si>
    <t xml:space="preserve">แก่</t>
  </si>
  <si>
    <t xml:space="preserve">แสดง</t>
  </si>
  <si>
    <t xml:space="preserve">สี</t>
  </si>
  <si>
    <t xml:space="preserve">นั่ง</t>
  </si>
  <si>
    <t xml:space="preserve">นี่</t>
  </si>
  <si>
    <t xml:space="preserve">รัก</t>
  </si>
  <si>
    <t xml:space="preserve">นัก</t>
  </si>
  <si>
    <t xml:space="preserve">แห่ง</t>
  </si>
  <si>
    <t xml:space="preserve">ปี</t>
  </si>
  <si>
    <t xml:space="preserve">แก</t>
  </si>
  <si>
    <t xml:space="preserve">ป่า</t>
  </si>
  <si>
    <t xml:space="preserve">ดัง</t>
  </si>
  <si>
    <t xml:space="preserve">สัก</t>
  </si>
  <si>
    <t xml:space="preserve">พี่</t>
  </si>
  <si>
    <t xml:space="preserve">มัก</t>
  </si>
  <si>
    <t xml:space="preserve">แม้</t>
  </si>
  <si>
    <t xml:space="preserve">หนี</t>
  </si>
  <si>
    <t xml:space="preserve">แรก</t>
  </si>
  <si>
    <t xml:space="preserve">วัด</t>
  </si>
  <si>
    <t xml:space="preserve">หัว</t>
  </si>
  <si>
    <t xml:space="preserve">ปาก</t>
  </si>
  <si>
    <t xml:space="preserve">ดังนี้</t>
  </si>
  <si>
    <t xml:space="preserve">นั่น</t>
  </si>
  <si>
    <t xml:space="preserve">หัวเราะ</t>
  </si>
  <si>
    <t xml:space="preserve">วันนี้</t>
  </si>
  <si>
    <t xml:space="preserve">สั่ง</t>
  </si>
  <si>
    <t xml:space="preserve">ประการ</t>
  </si>
  <si>
    <t xml:space="preserve">ดังนั้น</t>
  </si>
  <si>
    <t xml:space="preserve">แรง</t>
  </si>
  <si>
    <t xml:space="preserve">หัน</t>
  </si>
  <si>
    <t xml:space="preserve">แน่</t>
  </si>
  <si>
    <t xml:space="preserve">สี่</t>
  </si>
  <si>
    <t xml:space="preserve">วัว</t>
  </si>
  <si>
    <t xml:space="preserve">พัก</t>
  </si>
  <si>
    <t xml:space="preserve">แดง</t>
  </si>
  <si>
    <t xml:space="preserve">แม่น้ำ</t>
  </si>
  <si>
    <t xml:space="preserve">หมาป่า</t>
  </si>
  <si>
    <t xml:space="preserve">หนัก</t>
  </si>
  <si>
    <t xml:space="preserve">กัด</t>
  </si>
  <si>
    <t xml:space="preserve">แก้</t>
  </si>
  <si>
    <t xml:space="preserve">หวัง</t>
  </si>
  <si>
    <t xml:space="preserve">แมว</t>
  </si>
  <si>
    <t xml:space="preserve">แก้ว</t>
  </si>
  <si>
    <t xml:space="preserve">ได้แก่</t>
  </si>
  <si>
    <t xml:space="preserve">รัง</t>
  </si>
  <si>
    <t xml:space="preserve">ประ</t>
  </si>
  <si>
    <t xml:space="preserve">กี่</t>
  </si>
  <si>
    <t xml:space="preserve">ฟัน</t>
  </si>
  <si>
    <t xml:space="preserve">แนะนำ</t>
  </si>
  <si>
    <t xml:space="preserve">แห้ง</t>
  </si>
  <si>
    <t xml:space="preserve">แสน</t>
  </si>
  <si>
    <t xml:space="preserve">ระวัง</t>
  </si>
  <si>
    <t xml:space="preserve">แสง</t>
  </si>
  <si>
    <t xml:space="preserve">ป้า</t>
  </si>
  <si>
    <t xml:space="preserve">หนัง</t>
  </si>
  <si>
    <t xml:space="preserve">พัด</t>
  </si>
  <si>
    <t xml:space="preserve">พัน</t>
  </si>
  <si>
    <t xml:space="preserve">หัวหน้า</t>
  </si>
  <si>
    <t xml:space="preserve">หัก</t>
  </si>
  <si>
    <t xml:space="preserve">สั้น</t>
  </si>
  <si>
    <t xml:space="preserve">แดด</t>
  </si>
  <si>
    <t xml:space="preserve">สามี</t>
  </si>
  <si>
    <t xml:space="preserve">แน่น</t>
  </si>
  <si>
    <t xml:space="preserve">ประสม</t>
  </si>
  <si>
    <t xml:space="preserve">แกะ</t>
  </si>
  <si>
    <t xml:space="preserve">กวี</t>
  </si>
  <si>
    <t xml:space="preserve">แพะ</t>
  </si>
  <si>
    <t xml:space="preserve">สำนัก</t>
  </si>
  <si>
    <t xml:space="preserve">สีหน้า</t>
  </si>
  <si>
    <t xml:space="preserve">รั้ว</t>
  </si>
  <si>
    <t xml:space="preserve">หัด</t>
  </si>
  <si>
    <t xml:space="preserve">แพ้</t>
  </si>
  <si>
    <t xml:space="preserve">สวัสดี</t>
  </si>
  <si>
    <t xml:space="preserve">น่ารัก</t>
  </si>
  <si>
    <t xml:space="preserve">สั่น</t>
  </si>
  <si>
    <t xml:space="preserve">ปีก</t>
  </si>
  <si>
    <t xml:space="preserve">วัง</t>
  </si>
  <si>
    <t xml:space="preserve">หมี</t>
  </si>
  <si>
    <t xml:space="preserve">แนว</t>
  </si>
  <si>
    <t xml:space="preserve">แม้ว่า</t>
  </si>
  <si>
    <t xml:space="preserve">แหม</t>
  </si>
  <si>
    <t xml:space="preserve">มัว</t>
  </si>
  <si>
    <t xml:space="preserve">แม้น</t>
  </si>
  <si>
    <t xml:space="preserve">กระมัง</t>
  </si>
  <si>
    <t xml:space="preserve">ปัก</t>
  </si>
  <si>
    <t xml:space="preserve">น้ำมัน</t>
  </si>
  <si>
    <t xml:space="preserve">แปด</t>
  </si>
  <si>
    <t xml:space="preserve">แวะ</t>
  </si>
  <si>
    <t xml:space="preserve">น้ำหนัก</t>
  </si>
  <si>
    <t xml:space="preserve">ระมัดระวัง</t>
  </si>
  <si>
    <t xml:space="preserve">ปน</t>
  </si>
  <si>
    <t xml:space="preserve">มัด</t>
  </si>
  <si>
    <t xml:space="preserve">แสงแดด</t>
  </si>
  <si>
    <t xml:space="preserve">กำแพง</t>
  </si>
  <si>
    <t xml:space="preserve">แน่ะ</t>
  </si>
  <si>
    <t xml:space="preserve">ดั่ง</t>
  </si>
  <si>
    <t xml:space="preserve">แกง</t>
  </si>
  <si>
    <t xml:space="preserve">ปะ</t>
  </si>
  <si>
    <t xml:space="preserve">ดัก</t>
  </si>
  <si>
    <t xml:space="preserve">ปั้น</t>
  </si>
  <si>
    <t xml:space="preserve">มีด</t>
  </si>
  <si>
    <t xml:space="preserve">เป่า</t>
  </si>
  <si>
    <t xml:space="preserve">มั่น</t>
  </si>
  <si>
    <t xml:space="preserve">หมั่น</t>
  </si>
  <si>
    <t xml:space="preserve">ปีน</t>
  </si>
  <si>
    <t xml:space="preserve">แสวงหา</t>
  </si>
  <si>
    <t xml:space="preserve">สกปรก</t>
  </si>
  <si>
    <t xml:space="preserve">งั้น</t>
  </si>
  <si>
    <t xml:space="preserve">ดีงาม</t>
  </si>
  <si>
    <t xml:space="preserve">ประกวด</t>
  </si>
  <si>
    <t xml:space="preserve">วานนี้</t>
  </si>
  <si>
    <t xml:space="preserve">นัด</t>
  </si>
  <si>
    <t xml:space="preserve">แง่</t>
  </si>
  <si>
    <t xml:space="preserve">แพง</t>
  </si>
  <si>
    <t xml:space="preserve">แป้ง</t>
  </si>
  <si>
    <t xml:space="preserve">แหวน</t>
  </si>
  <si>
    <t xml:space="preserve">กั้น</t>
  </si>
  <si>
    <t xml:space="preserve">รี</t>
  </si>
  <si>
    <t xml:space="preserve">ป่าไม้</t>
  </si>
  <si>
    <t xml:space="preserve">หนี้</t>
  </si>
  <si>
    <t xml:space="preserve">ฟัก</t>
  </si>
  <si>
    <t xml:space="preserve">หนักหนา</t>
  </si>
  <si>
    <t xml:space="preserve">หงสาวดี</t>
  </si>
  <si>
    <t xml:space="preserve">มั่ง</t>
  </si>
  <si>
    <t xml:space="preserve">แดน</t>
  </si>
  <si>
    <t xml:space="preserve">แก้ม</t>
  </si>
  <si>
    <t xml:space="preserve">มเหสี</t>
  </si>
  <si>
    <t xml:space="preserve">รังแก</t>
  </si>
  <si>
    <t xml:space="preserve">ปาน</t>
  </si>
  <si>
    <t xml:space="preserve">หันหน้า</t>
  </si>
  <si>
    <t xml:space="preserve">กระนั้น</t>
  </si>
  <si>
    <t xml:space="preserve">มังกร</t>
  </si>
  <si>
    <t xml:space="preserve">พัง</t>
  </si>
  <si>
    <t xml:space="preserve">กาแฟ</t>
  </si>
  <si>
    <t xml:space="preserve">รัด</t>
  </si>
  <si>
    <t xml:space="preserve">นี่แน่ะ</t>
  </si>
  <si>
    <t xml:space="preserve">ปวด</t>
  </si>
  <si>
    <t xml:space="preserve">มั่งมี</t>
  </si>
  <si>
    <t xml:space="preserve">แพ</t>
  </si>
  <si>
    <t xml:space="preserve">ปี่</t>
  </si>
  <si>
    <t xml:space="preserve">บท 10 · ด่าน 4 · แป้นใหม่: อ ิ ย ใ</t>
  </si>
  <si>
    <t xml:space="preserve">ให้</t>
  </si>
  <si>
    <t xml:space="preserve">ใน</t>
  </si>
  <si>
    <t xml:space="preserve">ด้วย</t>
  </si>
  <si>
    <t xml:space="preserve">อย่าง</t>
  </si>
  <si>
    <t xml:space="preserve">ออก</t>
  </si>
  <si>
    <t xml:space="preserve">ยัง</t>
  </si>
  <si>
    <t xml:space="preserve">อีก</t>
  </si>
  <si>
    <t xml:space="preserve">เสียง</t>
  </si>
  <si>
    <t xml:space="preserve">เอา</t>
  </si>
  <si>
    <t xml:space="preserve">พ่อ</t>
  </si>
  <si>
    <t xml:space="preserve">อะไร</t>
  </si>
  <si>
    <t xml:space="preserve">อ่าน</t>
  </si>
  <si>
    <t xml:space="preserve">สอง</t>
  </si>
  <si>
    <t xml:space="preserve">กิน</t>
  </si>
  <si>
    <t xml:space="preserve">เกิด</t>
  </si>
  <si>
    <t xml:space="preserve">เสีย</t>
  </si>
  <si>
    <t xml:space="preserve">พอ</t>
  </si>
  <si>
    <t xml:space="preserve">เดิน</t>
  </si>
  <si>
    <t xml:space="preserve">อัน</t>
  </si>
  <si>
    <t xml:space="preserve">ใด</t>
  </si>
  <si>
    <t xml:space="preserve">ก่อน</t>
  </si>
  <si>
    <t xml:space="preserve">สิ่ง</t>
  </si>
  <si>
    <t xml:space="preserve">เอง</t>
  </si>
  <si>
    <t xml:space="preserve">อาหาร</t>
  </si>
  <si>
    <t xml:space="preserve">เรียน</t>
  </si>
  <si>
    <t xml:space="preserve">อย่างไร</t>
  </si>
  <si>
    <t xml:space="preserve">อยาก</t>
  </si>
  <si>
    <t xml:space="preserve">ร้อง</t>
  </si>
  <si>
    <t xml:space="preserve">นักเรียน</t>
  </si>
  <si>
    <t xml:space="preserve">น้อย</t>
  </si>
  <si>
    <t xml:space="preserve">อย่า</t>
  </si>
  <si>
    <t xml:space="preserve">เดียว</t>
  </si>
  <si>
    <t xml:space="preserve">ยิ่ง</t>
  </si>
  <si>
    <t xml:space="preserve">นาย</t>
  </si>
  <si>
    <t xml:space="preserve">วิ่ง</t>
  </si>
  <si>
    <t xml:space="preserve">นอน</t>
  </si>
  <si>
    <t xml:space="preserve">เงิน</t>
  </si>
  <si>
    <t xml:space="preserve">มอง</t>
  </si>
  <si>
    <t xml:space="preserve">เรียก</t>
  </si>
  <si>
    <t xml:space="preserve">ยก</t>
  </si>
  <si>
    <t xml:space="preserve">เพียง</t>
  </si>
  <si>
    <t xml:space="preserve">ใหม่</t>
  </si>
  <si>
    <t xml:space="preserve">ได้ยิน</t>
  </si>
  <si>
    <t xml:space="preserve">ห้อง</t>
  </si>
  <si>
    <t xml:space="preserve">ใส่</t>
  </si>
  <si>
    <t xml:space="preserve">สอน</t>
  </si>
  <si>
    <t xml:space="preserve">เสมอ</t>
  </si>
  <si>
    <t xml:space="preserve">มิได้</t>
  </si>
  <si>
    <t xml:space="preserve">น้อง</t>
  </si>
  <si>
    <t xml:space="preserve">ย่อม</t>
  </si>
  <si>
    <t xml:space="preserve">พยายาม</t>
  </si>
  <si>
    <t xml:space="preserve">ดอก</t>
  </si>
  <si>
    <t xml:space="preserve">หาย</t>
  </si>
  <si>
    <t xml:space="preserve">เรียกว่า</t>
  </si>
  <si>
    <t xml:space="preserve">ยอม</t>
  </si>
  <si>
    <t xml:space="preserve">เดิม</t>
  </si>
  <si>
    <t xml:space="preserve">ยาย</t>
  </si>
  <si>
    <t xml:space="preserve">เดียวกัน</t>
  </si>
  <si>
    <t xml:space="preserve">ยาว</t>
  </si>
  <si>
    <t xml:space="preserve">พร้อม</t>
  </si>
  <si>
    <t xml:space="preserve">เริ่ม</t>
  </si>
  <si>
    <t xml:space="preserve">หรอก</t>
  </si>
  <si>
    <t xml:space="preserve">ดิน</t>
  </si>
  <si>
    <t xml:space="preserve">ร้อน</t>
  </si>
  <si>
    <t xml:space="preserve">สมัย</t>
  </si>
  <si>
    <t xml:space="preserve">ยา</t>
  </si>
  <si>
    <t xml:space="preserve">ยิ้ม</t>
  </si>
  <si>
    <t xml:space="preserve">เกิน</t>
  </si>
  <si>
    <t xml:space="preserve">ยาก</t>
  </si>
  <si>
    <t xml:space="preserve">มิ</t>
  </si>
  <si>
    <t xml:space="preserve">เปิด</t>
  </si>
  <si>
    <t xml:space="preserve">รอ</t>
  </si>
  <si>
    <t xml:space="preserve">พ่อแม่</t>
  </si>
  <si>
    <t xml:space="preserve">กอง</t>
  </si>
  <si>
    <t xml:space="preserve">นิยม</t>
  </si>
  <si>
    <t xml:space="preserve">ง่าย</t>
  </si>
  <si>
    <t xml:space="preserve">ดอกไม้</t>
  </si>
  <si>
    <t xml:space="preserve">สงสัย</t>
  </si>
  <si>
    <t xml:space="preserve">สาย</t>
  </si>
  <si>
    <t xml:space="preserve">นอก</t>
  </si>
  <si>
    <t xml:space="preserve">ยิง</t>
  </si>
  <si>
    <t xml:space="preserve">สิ้น</t>
  </si>
  <si>
    <t xml:space="preserve">สวย</t>
  </si>
  <si>
    <t xml:space="preserve">นิ่ง</t>
  </si>
  <si>
    <t xml:space="preserve">มากมาย</t>
  </si>
  <si>
    <t xml:space="preserve">อาการ</t>
  </si>
  <si>
    <t xml:space="preserve">หน่อย</t>
  </si>
  <si>
    <t xml:space="preserve">อ้าย</t>
  </si>
  <si>
    <t xml:space="preserve">กริยา</t>
  </si>
  <si>
    <t xml:space="preserve">ยาม</t>
  </si>
  <si>
    <t xml:space="preserve">อา</t>
  </si>
  <si>
    <t xml:space="preserve">ร้อย</t>
  </si>
  <si>
    <t xml:space="preserve">อ่อน</t>
  </si>
  <si>
    <t xml:space="preserve">ปิด</t>
  </si>
  <si>
    <t xml:space="preserve">สะอาด</t>
  </si>
  <si>
    <t xml:space="preserve">หมอ</t>
  </si>
  <si>
    <t xml:space="preserve">ริม</t>
  </si>
  <si>
    <t xml:space="preserve">ยินดี</t>
  </si>
  <si>
    <t xml:space="preserve">ร้าย</t>
  </si>
  <si>
    <t xml:space="preserve">เพิ่ม</t>
  </si>
  <si>
    <t xml:space="preserve">ร้องไห้</t>
  </si>
  <si>
    <t xml:space="preserve">เมีย</t>
  </si>
  <si>
    <t xml:space="preserve">ย่า</t>
  </si>
  <si>
    <t xml:space="preserve">เสนอ</t>
  </si>
  <si>
    <t xml:space="preserve">ยอด</t>
  </si>
  <si>
    <t xml:space="preserve">เสียก่อน</t>
  </si>
  <si>
    <t xml:space="preserve">เอย</t>
  </si>
  <si>
    <t xml:space="preserve">หอม</t>
  </si>
  <si>
    <t xml:space="preserve">เรียง</t>
  </si>
  <si>
    <t xml:space="preserve">พอดี</t>
  </si>
  <si>
    <t xml:space="preserve">เกวียน</t>
  </si>
  <si>
    <t xml:space="preserve">นิสัย</t>
  </si>
  <si>
    <t xml:space="preserve">แยก</t>
  </si>
  <si>
    <t xml:space="preserve">หิน</t>
  </si>
  <si>
    <t xml:space="preserve">เพิ่ง</t>
  </si>
  <si>
    <t xml:space="preserve">นั่นเอง</t>
  </si>
  <si>
    <t xml:space="preserve">ดำเนิน</t>
  </si>
  <si>
    <t xml:space="preserve">ระยะ</t>
  </si>
  <si>
    <t xml:space="preserve">พี่น้อง</t>
  </si>
  <si>
    <t xml:space="preserve">ยังไง</t>
  </si>
  <si>
    <t xml:space="preserve">กาย</t>
  </si>
  <si>
    <t xml:space="preserve">สิ</t>
  </si>
  <si>
    <t xml:space="preserve">หอย</t>
  </si>
  <si>
    <t xml:space="preserve">กิริยา</t>
  </si>
  <si>
    <t xml:space="preserve">เอ่ย</t>
  </si>
  <si>
    <t xml:space="preserve">อก</t>
  </si>
  <si>
    <t xml:space="preserve">อด</t>
  </si>
  <si>
    <t xml:space="preserve">แน่นอน</t>
  </si>
  <si>
    <t xml:space="preserve">หิว</t>
  </si>
  <si>
    <t xml:space="preserve">วัย</t>
  </si>
  <si>
    <t xml:space="preserve">ป้องกัน</t>
  </si>
  <si>
    <t xml:space="preserve">ร่างกาย</t>
  </si>
  <si>
    <t xml:space="preserve">ห่อ</t>
  </si>
  <si>
    <t xml:space="preserve">ย่อ</t>
  </si>
  <si>
    <t xml:space="preserve">หากิน</t>
  </si>
  <si>
    <t xml:space="preserve">กิ่ง</t>
  </si>
  <si>
    <t xml:space="preserve">เอก</t>
  </si>
  <si>
    <t xml:space="preserve">นิ้ว</t>
  </si>
  <si>
    <t xml:space="preserve">รายงาน</t>
  </si>
  <si>
    <t xml:space="preserve">พระยา</t>
  </si>
  <si>
    <t xml:space="preserve">สวยงาม</t>
  </si>
  <si>
    <t xml:space="preserve">เยี่ยม</t>
  </si>
  <si>
    <t xml:space="preserve">หมาย</t>
  </si>
  <si>
    <t xml:space="preserve">ก้อน</t>
  </si>
  <si>
    <t xml:space="preserve">รอย</t>
  </si>
  <si>
    <t xml:space="preserve">มิให้</t>
  </si>
  <si>
    <t xml:space="preserve">ใส</t>
  </si>
  <si>
    <t xml:space="preserve">อย่างยิ่ง</t>
  </si>
  <si>
    <t xml:space="preserve">เออ</t>
  </si>
  <si>
    <t xml:space="preserve">ส่อง</t>
  </si>
  <si>
    <t xml:space="preserve">บท 11 · ด่าน 4 · แป้นใหม่: ท ื ผ ๆ</t>
  </si>
  <si>
    <t xml:space="preserve">ที่</t>
  </si>
  <si>
    <t xml:space="preserve">หรือ</t>
  </si>
  <si>
    <t xml:space="preserve">ทำ</t>
  </si>
  <si>
    <t xml:space="preserve">เมื่อ</t>
  </si>
  <si>
    <t xml:space="preserve">เรื่อง</t>
  </si>
  <si>
    <t xml:space="preserve">ท่าน</t>
  </si>
  <si>
    <t xml:space="preserve">ทั้ง</t>
  </si>
  <si>
    <t xml:space="preserve">ทาง</t>
  </si>
  <si>
    <t xml:space="preserve">เพื่อ</t>
  </si>
  <si>
    <t xml:space="preserve">ผม</t>
  </si>
  <si>
    <t xml:space="preserve">ทำให้</t>
  </si>
  <si>
    <t xml:space="preserve">เหมือน</t>
  </si>
  <si>
    <t xml:space="preserve">ไทย</t>
  </si>
  <si>
    <t xml:space="preserve">เมือง</t>
  </si>
  <si>
    <t xml:space="preserve">ทรง</t>
  </si>
  <si>
    <t xml:space="preserve">หนังสือ</t>
  </si>
  <si>
    <t xml:space="preserve">อื่น</t>
  </si>
  <si>
    <t xml:space="preserve">เรือ</t>
  </si>
  <si>
    <t xml:space="preserve">เพื่อน</t>
  </si>
  <si>
    <t xml:space="preserve">มือ</t>
  </si>
  <si>
    <t xml:space="preserve">เท่านั้น</t>
  </si>
  <si>
    <t xml:space="preserve">ยืน</t>
  </si>
  <si>
    <t xml:space="preserve">ทหาร</t>
  </si>
  <si>
    <t xml:space="preserve">ผิด</t>
  </si>
  <si>
    <t xml:space="preserve">ทำไม</t>
  </si>
  <si>
    <t xml:space="preserve">เที่ยว</t>
  </si>
  <si>
    <t xml:space="preserve">อื่นๆ</t>
  </si>
  <si>
    <t xml:space="preserve">ที</t>
  </si>
  <si>
    <t xml:space="preserve">ผ่าน</t>
  </si>
  <si>
    <t xml:space="preserve">หน้าที่</t>
  </si>
  <si>
    <t xml:space="preserve">ผ้า</t>
  </si>
  <si>
    <t xml:space="preserve">เดือน</t>
  </si>
  <si>
    <t xml:space="preserve">นิทาน</t>
  </si>
  <si>
    <t xml:space="preserve">ทัน</t>
  </si>
  <si>
    <t xml:space="preserve">เดินทาง</t>
  </si>
  <si>
    <t xml:space="preserve">สื่อสาร</t>
  </si>
  <si>
    <t xml:space="preserve">ทัพ</t>
  </si>
  <si>
    <t xml:space="preserve">แทน</t>
  </si>
  <si>
    <t xml:space="preserve">ทันที</t>
  </si>
  <si>
    <t xml:space="preserve">ทิ้ง</t>
  </si>
  <si>
    <t xml:space="preserve">กระทำ</t>
  </si>
  <si>
    <t xml:space="preserve">ทีเดียว</t>
  </si>
  <si>
    <t xml:space="preserve">เรือน</t>
  </si>
  <si>
    <t xml:space="preserve">เท่า</t>
  </si>
  <si>
    <t xml:space="preserve">เสือ</t>
  </si>
  <si>
    <t xml:space="preserve">เนื้อ</t>
  </si>
  <si>
    <t xml:space="preserve">เท้า</t>
  </si>
  <si>
    <t xml:space="preserve">ทอง</t>
  </si>
  <si>
    <t xml:space="preserve">เพื่อนๆ</t>
  </si>
  <si>
    <t xml:space="preserve">ผัก</t>
  </si>
  <si>
    <t xml:space="preserve">เสื้อ</t>
  </si>
  <si>
    <t xml:space="preserve">ทั่ว</t>
  </si>
  <si>
    <t xml:space="preserve">เหนือ</t>
  </si>
  <si>
    <t xml:space="preserve">ที่ไหน</t>
  </si>
  <si>
    <t xml:space="preserve">ทั้งปวง</t>
  </si>
  <si>
    <t xml:space="preserve">เรื่องราว</t>
  </si>
  <si>
    <t xml:space="preserve">พื้น</t>
  </si>
  <si>
    <t xml:space="preserve">ทั่วไป</t>
  </si>
  <si>
    <t xml:space="preserve">วันที่</t>
  </si>
  <si>
    <t xml:space="preserve">ทั้งหมด</t>
  </si>
  <si>
    <t xml:space="preserve">ท่า</t>
  </si>
  <si>
    <t xml:space="preserve">ท่าทาง</t>
  </si>
  <si>
    <t xml:space="preserve">ท้าย</t>
  </si>
  <si>
    <t xml:space="preserve">สนทนา</t>
  </si>
  <si>
    <t xml:space="preserve">ท้อง</t>
  </si>
  <si>
    <t xml:space="preserve">นั้นๆ</t>
  </si>
  <si>
    <t xml:space="preserve">เหนื่อย</t>
  </si>
  <si>
    <t xml:space="preserve">เมืองไทย</t>
  </si>
  <si>
    <t xml:space="preserve">สื่อ</t>
  </si>
  <si>
    <t xml:space="preserve">ดื่ม</t>
  </si>
  <si>
    <t xml:space="preserve">ทน</t>
  </si>
  <si>
    <t xml:space="preserve">แผ่นดิน</t>
  </si>
  <si>
    <t xml:space="preserve">ผี</t>
  </si>
  <si>
    <t xml:space="preserve">เนื้อหา</t>
  </si>
  <si>
    <t xml:space="preserve">แท้</t>
  </si>
  <si>
    <t xml:space="preserve">ทั้งนี้</t>
  </si>
  <si>
    <t xml:space="preserve">พระทัย</t>
  </si>
  <si>
    <t xml:space="preserve">สนิท</t>
  </si>
  <si>
    <t xml:space="preserve">ทั้งนั้น</t>
  </si>
  <si>
    <t xml:space="preserve">แผ่น</t>
  </si>
  <si>
    <t xml:space="preserve">ทราย</t>
  </si>
  <si>
    <t xml:space="preserve">ปืน</t>
  </si>
  <si>
    <t xml:space="preserve">สัมผัส</t>
  </si>
  <si>
    <t xml:space="preserve">ไผ่</t>
  </si>
  <si>
    <t xml:space="preserve">เดือดร้อน</t>
  </si>
  <si>
    <t xml:space="preserve">รวมทั้ง</t>
  </si>
  <si>
    <t xml:space="preserve">ทั้งสิ้น</t>
  </si>
  <si>
    <t xml:space="preserve">กองทัพ</t>
  </si>
  <si>
    <t xml:space="preserve">เทวดา</t>
  </si>
  <si>
    <t xml:space="preserve">มืด</t>
  </si>
  <si>
    <t xml:space="preserve">เสื้อผ้า</t>
  </si>
  <si>
    <t xml:space="preserve">พื้นดิน</t>
  </si>
  <si>
    <t xml:space="preserve">เรื่อยๆ</t>
  </si>
  <si>
    <t xml:space="preserve">ทำนอง</t>
  </si>
  <si>
    <t xml:space="preserve">ง่ายๆ</t>
  </si>
  <si>
    <t xml:space="preserve">เผา</t>
  </si>
  <si>
    <t xml:space="preserve">เท่าไร</t>
  </si>
  <si>
    <t xml:space="preserve">ใดๆ</t>
  </si>
  <si>
    <t xml:space="preserve">เมื่อไร</t>
  </si>
  <si>
    <t xml:space="preserve">มากๆ</t>
  </si>
  <si>
    <t xml:space="preserve">ทำท่า</t>
  </si>
  <si>
    <t xml:space="preserve">ทันใด</t>
  </si>
  <si>
    <t xml:space="preserve">มารยาท</t>
  </si>
  <si>
    <t xml:space="preserve">เสียที</t>
  </si>
  <si>
    <t xml:space="preserve">ทักทาย</t>
  </si>
  <si>
    <t xml:space="preserve">ผิว</t>
  </si>
  <si>
    <t xml:space="preserve">น้อยๆ</t>
  </si>
  <si>
    <t xml:space="preserve">ทอด</t>
  </si>
  <si>
    <t xml:space="preserve">ดีๆ</t>
  </si>
  <si>
    <t xml:space="preserve">ทางการ</t>
  </si>
  <si>
    <t xml:space="preserve">อดทน</t>
  </si>
  <si>
    <t xml:space="preserve">ยื่น</t>
  </si>
  <si>
    <t xml:space="preserve">แท้ๆ</t>
  </si>
  <si>
    <t xml:space="preserve">ทำร้าย</t>
  </si>
  <si>
    <t xml:space="preserve">เทียว</t>
  </si>
  <si>
    <t xml:space="preserve">ใหม่ๆ</t>
  </si>
  <si>
    <t xml:space="preserve">ท้องฟ้า</t>
  </si>
  <si>
    <t xml:space="preserve">ทำนา</t>
  </si>
  <si>
    <t xml:space="preserve">พักผ่อน</t>
  </si>
  <si>
    <t xml:space="preserve">ท่อง</t>
  </si>
  <si>
    <t xml:space="preserve">เนื้อเรื่อง</t>
  </si>
  <si>
    <t xml:space="preserve">แทนที่</t>
  </si>
  <si>
    <t xml:space="preserve">ผืน</t>
  </si>
  <si>
    <t xml:space="preserve">ทั้งๆ</t>
  </si>
  <si>
    <t xml:space="preserve">เท่านี้</t>
  </si>
  <si>
    <t xml:space="preserve">เรื่อย</t>
  </si>
  <si>
    <t xml:space="preserve">ทาน</t>
  </si>
  <si>
    <t xml:space="preserve">ทา</t>
  </si>
  <si>
    <t xml:space="preserve">ผสม</t>
  </si>
  <si>
    <t xml:space="preserve">รองเท้า</t>
  </si>
  <si>
    <t xml:space="preserve">เท</t>
  </si>
  <si>
    <t xml:space="preserve">ทำมาหากิน</t>
  </si>
  <si>
    <t xml:space="preserve">สั้นๆ</t>
  </si>
  <si>
    <t xml:space="preserve">นาที</t>
  </si>
  <si>
    <t xml:space="preserve">ท่อน</t>
  </si>
  <si>
    <t xml:space="preserve">ดังที่</t>
  </si>
  <si>
    <t xml:space="preserve">มื้อ</t>
  </si>
  <si>
    <t xml:space="preserve">นานๆ</t>
  </si>
  <si>
    <t xml:space="preserve">เมื่อนั้น</t>
  </si>
  <si>
    <t xml:space="preserve">เรื่องสั้น</t>
  </si>
  <si>
    <t xml:space="preserve">เทพ</t>
  </si>
  <si>
    <t xml:space="preserve">แทรก</t>
  </si>
  <si>
    <t xml:space="preserve">กระทรวง</t>
  </si>
  <si>
    <t xml:space="preserve">ที่ดิน</t>
  </si>
  <si>
    <t xml:space="preserve">หมื่น</t>
  </si>
  <si>
    <t xml:space="preserve">พระที่นั่ง</t>
  </si>
  <si>
    <t xml:space="preserve">พื้นที่</t>
  </si>
  <si>
    <t xml:space="preserve">ทั้งที่</t>
  </si>
  <si>
    <t xml:space="preserve">เทียน</t>
  </si>
  <si>
    <t xml:space="preserve">เงินทอง</t>
  </si>
  <si>
    <t xml:space="preserve">บท 13 · ด่าน 5 · แป้นใหม่: บ ล ฝ</t>
  </si>
  <si>
    <t xml:space="preserve">และ</t>
  </si>
  <si>
    <t xml:space="preserve">แล้ว</t>
  </si>
  <si>
    <t xml:space="preserve">กับ</t>
  </si>
  <si>
    <t xml:space="preserve">ลง</t>
  </si>
  <si>
    <t xml:space="preserve">บ้าน</t>
  </si>
  <si>
    <t xml:space="preserve">บอก</t>
  </si>
  <si>
    <t xml:space="preserve">เวลา</t>
  </si>
  <si>
    <t xml:space="preserve">เลย</t>
  </si>
  <si>
    <t xml:space="preserve">รับ</t>
  </si>
  <si>
    <t xml:space="preserve">กลับ</t>
  </si>
  <si>
    <t xml:space="preserve">บ้าง</t>
  </si>
  <si>
    <t xml:space="preserve">บาง</t>
  </si>
  <si>
    <t xml:space="preserve">หลาย</t>
  </si>
  <si>
    <t xml:space="preserve">กำลัง</t>
  </si>
  <si>
    <t xml:space="preserve">เล่า</t>
  </si>
  <si>
    <t xml:space="preserve">บน</t>
  </si>
  <si>
    <t xml:space="preserve">กล่าว</t>
  </si>
  <si>
    <t xml:space="preserve">เล่น</t>
  </si>
  <si>
    <t xml:space="preserve">ละ</t>
  </si>
  <si>
    <t xml:space="preserve">พบ</t>
  </si>
  <si>
    <t xml:space="preserve">หลัง</t>
  </si>
  <si>
    <t xml:space="preserve">ทราบ</t>
  </si>
  <si>
    <t xml:space="preserve">หล่อน</t>
  </si>
  <si>
    <t xml:space="preserve">สำหรับ</t>
  </si>
  <si>
    <t xml:space="preserve">รีบ</t>
  </si>
  <si>
    <t xml:space="preserve">ผล</t>
  </si>
  <si>
    <t xml:space="preserve">ฝ่าย</t>
  </si>
  <si>
    <t xml:space="preserve">เลี้ยง</t>
  </si>
  <si>
    <t xml:space="preserve">ปลา</t>
  </si>
  <si>
    <t xml:space="preserve">กลัว</t>
  </si>
  <si>
    <t xml:space="preserve">ทั้งหลาย</t>
  </si>
  <si>
    <t xml:space="preserve">แล</t>
  </si>
  <si>
    <t xml:space="preserve">ล่ะ</t>
  </si>
  <si>
    <t xml:space="preserve">ใบ</t>
  </si>
  <si>
    <t xml:space="preserve">เลือก</t>
  </si>
  <si>
    <t xml:space="preserve">ใกล้</t>
  </si>
  <si>
    <t xml:space="preserve">แบบ</t>
  </si>
  <si>
    <t xml:space="preserve">บิน</t>
  </si>
  <si>
    <t xml:space="preserve">ฝน</t>
  </si>
  <si>
    <t xml:space="preserve">พลาง</t>
  </si>
  <si>
    <t xml:space="preserve">เกี่ยวกับ</t>
  </si>
  <si>
    <t xml:space="preserve">ไกล</t>
  </si>
  <si>
    <t xml:space="preserve">กลาง</t>
  </si>
  <si>
    <t xml:space="preserve">เหล่านี้</t>
  </si>
  <si>
    <t xml:space="preserve">หลัก</t>
  </si>
  <si>
    <t xml:space="preserve">เพลง</t>
  </si>
  <si>
    <t xml:space="preserve">สิบ</t>
  </si>
  <si>
    <t xml:space="preserve">หลับ</t>
  </si>
  <si>
    <t xml:space="preserve">บิดา</t>
  </si>
  <si>
    <t xml:space="preserve">เปลี่ยน</t>
  </si>
  <si>
    <t xml:space="preserve">ปล่อย</t>
  </si>
  <si>
    <t xml:space="preserve">ทะเล</t>
  </si>
  <si>
    <t xml:space="preserve">สบาย</t>
  </si>
  <si>
    <t xml:space="preserve">ประกอบ</t>
  </si>
  <si>
    <t xml:space="preserve">บางที</t>
  </si>
  <si>
    <t xml:space="preserve">เหลือ</t>
  </si>
  <si>
    <t xml:space="preserve">ลา</t>
  </si>
  <si>
    <t xml:space="preserve">ลม</t>
  </si>
  <si>
    <t xml:space="preserve">เหล่านั้น</t>
  </si>
  <si>
    <t xml:space="preserve">ไล่</t>
  </si>
  <si>
    <t xml:space="preserve">กลิ่น</t>
  </si>
  <si>
    <t xml:space="preserve">ลืม</t>
  </si>
  <si>
    <t xml:space="preserve">หยิบ</t>
  </si>
  <si>
    <t xml:space="preserve">แบ่ง</t>
  </si>
  <si>
    <t xml:space="preserve">ระดับ</t>
  </si>
  <si>
    <t xml:space="preserve">รับประทาน</t>
  </si>
  <si>
    <t xml:space="preserve">หลาน</t>
  </si>
  <si>
    <t xml:space="preserve">กล้า</t>
  </si>
  <si>
    <t xml:space="preserve">ลำ</t>
  </si>
  <si>
    <t xml:space="preserve">เปล่า</t>
  </si>
  <si>
    <t xml:space="preserve">เกือบ</t>
  </si>
  <si>
    <t xml:space="preserve">รอบ</t>
  </si>
  <si>
    <t xml:space="preserve">กลาย</t>
  </si>
  <si>
    <t xml:space="preserve">บาท</t>
  </si>
  <si>
    <t xml:space="preserve">ไหล</t>
  </si>
  <si>
    <t xml:space="preserve">นับ</t>
  </si>
  <si>
    <t xml:space="preserve">แหละ</t>
  </si>
  <si>
    <t xml:space="preserve">เฝ้า</t>
  </si>
  <si>
    <t xml:space="preserve">ลอง</t>
  </si>
  <si>
    <t xml:space="preserve">บัดนี้</t>
  </si>
  <si>
    <t xml:space="preserve">เรียบร้อย</t>
  </si>
  <si>
    <t xml:space="preserve">รบ</t>
  </si>
  <si>
    <t xml:space="preserve">เลิก</t>
  </si>
  <si>
    <t xml:space="preserve">ปลาย</t>
  </si>
  <si>
    <t xml:space="preserve">แทบ</t>
  </si>
  <si>
    <t xml:space="preserve">เล่ม</t>
  </si>
  <si>
    <t xml:space="preserve">กลับบ้าน</t>
  </si>
  <si>
    <t xml:space="preserve">หลวง</t>
  </si>
  <si>
    <t xml:space="preserve">ลอย</t>
  </si>
  <si>
    <t xml:space="preserve">บ้านเมือง</t>
  </si>
  <si>
    <t xml:space="preserve">ฝั่ง</t>
  </si>
  <si>
    <t xml:space="preserve">แปลก</t>
  </si>
  <si>
    <t xml:space="preserve">แปล</t>
  </si>
  <si>
    <t xml:space="preserve">ฝาก</t>
  </si>
  <si>
    <t xml:space="preserve">ลำบาก</t>
  </si>
  <si>
    <t xml:space="preserve">เหลือเกิน</t>
  </si>
  <si>
    <t xml:space="preserve">กลอน</t>
  </si>
  <si>
    <t xml:space="preserve">ใกล้ๆ</t>
  </si>
  <si>
    <t xml:space="preserve">ล้วน</t>
  </si>
  <si>
    <t xml:space="preserve">ฝีมือ</t>
  </si>
  <si>
    <t xml:space="preserve">กล้วย</t>
  </si>
  <si>
    <t xml:space="preserve">แล่น</t>
  </si>
  <si>
    <t xml:space="preserve">บ่น</t>
  </si>
  <si>
    <t xml:space="preserve">กลางวัน</t>
  </si>
  <si>
    <t xml:space="preserve">บาลี</t>
  </si>
  <si>
    <t xml:space="preserve">ลาน</t>
  </si>
  <si>
    <t xml:space="preserve">สืบ</t>
  </si>
  <si>
    <t xml:space="preserve">ลิง</t>
  </si>
  <si>
    <t xml:space="preserve">ระเบียบ</t>
  </si>
  <si>
    <t xml:space="preserve">ล้ม</t>
  </si>
  <si>
    <t xml:space="preserve">เปลี่ยนแปลง</t>
  </si>
  <si>
    <t xml:space="preserve">กราบ</t>
  </si>
  <si>
    <t xml:space="preserve">พร้อมกับ</t>
  </si>
  <si>
    <t xml:space="preserve">สงบ</t>
  </si>
  <si>
    <t xml:space="preserve">เหมือนกับ</t>
  </si>
  <si>
    <t xml:space="preserve">ราวกับ</t>
  </si>
  <si>
    <t xml:space="preserve">เบาๆ</t>
  </si>
  <si>
    <t xml:space="preserve">ทำลาย</t>
  </si>
  <si>
    <t xml:space="preserve">บ่อยๆ</t>
  </si>
  <si>
    <t xml:space="preserve">เลือด</t>
  </si>
  <si>
    <t xml:space="preserve">ล้าง</t>
  </si>
  <si>
    <t xml:space="preserve">ผลไม้</t>
  </si>
  <si>
    <t xml:space="preserve">ลด</t>
  </si>
  <si>
    <t xml:space="preserve">หลง</t>
  </si>
  <si>
    <t xml:space="preserve">บรรดา</t>
  </si>
  <si>
    <t xml:space="preserve">ยอมรับ</t>
  </si>
  <si>
    <t xml:space="preserve">อาบน้ำ</t>
  </si>
  <si>
    <t xml:space="preserve">เหลือง</t>
  </si>
  <si>
    <t xml:space="preserve">บ่าย</t>
  </si>
  <si>
    <t xml:space="preserve">แมลง</t>
  </si>
  <si>
    <t xml:space="preserve">เงียบ</t>
  </si>
  <si>
    <t xml:space="preserve">ล่า</t>
  </si>
  <si>
    <t xml:space="preserve">เปลือก</t>
  </si>
  <si>
    <t xml:space="preserve">บันได</t>
  </si>
  <si>
    <t xml:space="preserve">แอบ</t>
  </si>
  <si>
    <t xml:space="preserve">ร้องเพลง</t>
  </si>
  <si>
    <t xml:space="preserve">ประกอบด้วย</t>
  </si>
  <si>
    <t xml:space="preserve">รางวัล</t>
  </si>
  <si>
    <t xml:space="preserve">หลบ</t>
  </si>
  <si>
    <t xml:space="preserve">เกลียด</t>
  </si>
  <si>
    <t xml:space="preserve">ใบไม้</t>
  </si>
  <si>
    <t xml:space="preserve">ลับ</t>
  </si>
  <si>
    <t xml:space="preserve">รับสั่ง</t>
  </si>
  <si>
    <t xml:space="preserve">ฝัน</t>
  </si>
  <si>
    <t xml:space="preserve">บ่อ</t>
  </si>
  <si>
    <t xml:space="preserve">พระบรม</t>
  </si>
  <si>
    <t xml:space="preserve">ฝรั่ง</t>
  </si>
  <si>
    <t xml:space="preserve">มอบ</t>
  </si>
  <si>
    <t xml:space="preserve">บท 14 · ด่าน 5 · แป้นใหม่: ค ต ถ ภ</t>
  </si>
  <si>
    <t xml:space="preserve">ความ</t>
  </si>
  <si>
    <t xml:space="preserve">คน</t>
  </si>
  <si>
    <t xml:space="preserve">แต่</t>
  </si>
  <si>
    <t xml:space="preserve">ต้อง</t>
  </si>
  <si>
    <t xml:space="preserve">ตัว</t>
  </si>
  <si>
    <t xml:space="preserve">ตาม</t>
  </si>
  <si>
    <t xml:space="preserve">ถ้า</t>
  </si>
  <si>
    <t xml:space="preserve">คิด</t>
  </si>
  <si>
    <t xml:space="preserve">คือ</t>
  </si>
  <si>
    <t xml:space="preserve">คง</t>
  </si>
  <si>
    <t xml:space="preserve">ใคร</t>
  </si>
  <si>
    <t xml:space="preserve">เคย</t>
  </si>
  <si>
    <t xml:space="preserve">ถาม</t>
  </si>
  <si>
    <t xml:space="preserve">ควร</t>
  </si>
  <si>
    <t xml:space="preserve">ครั้ง</t>
  </si>
  <si>
    <t xml:space="preserve">ต่างๆ</t>
  </si>
  <si>
    <t xml:space="preserve">ต่อ</t>
  </si>
  <si>
    <t xml:space="preserve">ตน</t>
  </si>
  <si>
    <t xml:space="preserve">ตอบ</t>
  </si>
  <si>
    <t xml:space="preserve">ต่อไป</t>
  </si>
  <si>
    <t xml:space="preserve">สามารถ</t>
  </si>
  <si>
    <t xml:space="preserve">ตา</t>
  </si>
  <si>
    <t xml:space="preserve">ต้น</t>
  </si>
  <si>
    <t xml:space="preserve">ต่าง</t>
  </si>
  <si>
    <t xml:space="preserve">ตาย</t>
  </si>
  <si>
    <t xml:space="preserve">ตั้ง</t>
  </si>
  <si>
    <t xml:space="preserve">ตรง</t>
  </si>
  <si>
    <t xml:space="preserve">ความหมาย</t>
  </si>
  <si>
    <t xml:space="preserve">ครับ</t>
  </si>
  <si>
    <t xml:space="preserve">ตอน</t>
  </si>
  <si>
    <t xml:space="preserve">รถ</t>
  </si>
  <si>
    <t xml:space="preserve">ต้องการ</t>
  </si>
  <si>
    <t xml:space="preserve">ตัวอย่าง</t>
  </si>
  <si>
    <t xml:space="preserve">คอย</t>
  </si>
  <si>
    <t xml:space="preserve">ตลอด</t>
  </si>
  <si>
    <t xml:space="preserve">คืน</t>
  </si>
  <si>
    <t xml:space="preserve">ต้นไม้</t>
  </si>
  <si>
    <t xml:space="preserve">ติด</t>
  </si>
  <si>
    <t xml:space="preserve">ตั้งแต่</t>
  </si>
  <si>
    <t xml:space="preserve">ตก</t>
  </si>
  <si>
    <t xml:space="preserve">ถือ</t>
  </si>
  <si>
    <t xml:space="preserve">ครั้น</t>
  </si>
  <si>
    <t xml:space="preserve">คะ</t>
  </si>
  <si>
    <t xml:space="preserve">ตี</t>
  </si>
  <si>
    <t xml:space="preserve">แต่ง</t>
  </si>
  <si>
    <t xml:space="preserve">เครื่อง</t>
  </si>
  <si>
    <t xml:space="preserve">ค่ะ</t>
  </si>
  <si>
    <t xml:space="preserve">ใต้</t>
  </si>
  <si>
    <t xml:space="preserve">สังเกต</t>
  </si>
  <si>
    <t xml:space="preserve">ตนเอง</t>
  </si>
  <si>
    <t xml:space="preserve">แต่ละ</t>
  </si>
  <si>
    <t xml:space="preserve">ตัด</t>
  </si>
  <si>
    <t xml:space="preserve">เถิด</t>
  </si>
  <si>
    <t xml:space="preserve">คราว</t>
  </si>
  <si>
    <t xml:space="preserve">ต่อมา</t>
  </si>
  <si>
    <t xml:space="preserve">ประเภท</t>
  </si>
  <si>
    <t xml:space="preserve">เถอะ</t>
  </si>
  <si>
    <t xml:space="preserve">ภาพ</t>
  </si>
  <si>
    <t xml:space="preserve">วรรค</t>
  </si>
  <si>
    <t xml:space="preserve">ตัวเอง</t>
  </si>
  <si>
    <t xml:space="preserve">ถ้อยคำ</t>
  </si>
  <si>
    <t xml:space="preserve">ครอบครัว</t>
  </si>
  <si>
    <t xml:space="preserve">ค่า</t>
  </si>
  <si>
    <t xml:space="preserve">สังคม</t>
  </si>
  <si>
    <t xml:space="preserve">ตื่น</t>
  </si>
  <si>
    <t xml:space="preserve">ถนน</t>
  </si>
  <si>
    <t xml:space="preserve">ถวาย</t>
  </si>
  <si>
    <t xml:space="preserve">ตรัส</t>
  </si>
  <si>
    <t xml:space="preserve">ภาค</t>
  </si>
  <si>
    <t xml:space="preserve">คอ</t>
  </si>
  <si>
    <t xml:space="preserve">ละคร</t>
  </si>
  <si>
    <t xml:space="preserve">ภรรยา</t>
  </si>
  <si>
    <t xml:space="preserve">อันตราย</t>
  </si>
  <si>
    <t xml:space="preserve">เตรียม</t>
  </si>
  <si>
    <t xml:space="preserve">กระต่าย</t>
  </si>
  <si>
    <t xml:space="preserve">ค่ำ</t>
  </si>
  <si>
    <t xml:space="preserve">คัน</t>
  </si>
  <si>
    <t xml:space="preserve">แตก</t>
  </si>
  <si>
    <t xml:space="preserve">สถานที่</t>
  </si>
  <si>
    <t xml:space="preserve">ปกติ</t>
  </si>
  <si>
    <t xml:space="preserve">คล้าย</t>
  </si>
  <si>
    <t xml:space="preserve">ไม่ค่อย</t>
  </si>
  <si>
    <t xml:space="preserve">ราคา</t>
  </si>
  <si>
    <t xml:space="preserve">ค่อย</t>
  </si>
  <si>
    <t xml:space="preserve">ตกลง</t>
  </si>
  <si>
    <t xml:space="preserve">เคารพ</t>
  </si>
  <si>
    <t xml:space="preserve">ภายใน</t>
  </si>
  <si>
    <t xml:space="preserve">บังคับ</t>
  </si>
  <si>
    <t xml:space="preserve">แถว</t>
  </si>
  <si>
    <t xml:space="preserve">ครัว</t>
  </si>
  <si>
    <t xml:space="preserve">กลางคืน</t>
  </si>
  <si>
    <t xml:space="preserve">แต่งตัว</t>
  </si>
  <si>
    <t xml:space="preserve">ค่อยๆ</t>
  </si>
  <si>
    <t xml:space="preserve">ตลาด</t>
  </si>
  <si>
    <t xml:space="preserve">ถิ่น</t>
  </si>
  <si>
    <t xml:space="preserve">ตัก</t>
  </si>
  <si>
    <t xml:space="preserve">ต่ำ</t>
  </si>
  <si>
    <t xml:space="preserve">ตำแหน่ง</t>
  </si>
  <si>
    <t xml:space="preserve">ภัย</t>
  </si>
  <si>
    <t xml:space="preserve">คำถาม</t>
  </si>
  <si>
    <t xml:space="preserve">สงคราม</t>
  </si>
  <si>
    <t xml:space="preserve">ตื่นเต้น</t>
  </si>
  <si>
    <t xml:space="preserve">แตกต่าง</t>
  </si>
  <si>
    <t xml:space="preserve">สินค้า</t>
  </si>
  <si>
    <t xml:space="preserve">ติดต่อ</t>
  </si>
  <si>
    <t xml:space="preserve">นคร</t>
  </si>
  <si>
    <t xml:space="preserve">ตำบล</t>
  </si>
  <si>
    <t xml:space="preserve">สายตา</t>
  </si>
  <si>
    <t xml:space="preserve">หมายความ</t>
  </si>
  <si>
    <t xml:space="preserve">นับถือ</t>
  </si>
  <si>
    <t xml:space="preserve">สมควร</t>
  </si>
  <si>
    <t xml:space="preserve">ภายหลัง</t>
  </si>
  <si>
    <t xml:space="preserve">ปรารถนา</t>
  </si>
  <si>
    <t xml:space="preserve">ตัวละคร</t>
  </si>
  <si>
    <t xml:space="preserve">เมตตา</t>
  </si>
  <si>
    <t xml:space="preserve">ต่อไปนี้</t>
  </si>
  <si>
    <t xml:space="preserve">ถือว่า</t>
  </si>
  <si>
    <t xml:space="preserve">อภิปราย</t>
  </si>
  <si>
    <t xml:space="preserve">สภาพ</t>
  </si>
  <si>
    <t xml:space="preserve">ใครๆ</t>
  </si>
  <si>
    <t xml:space="preserve">แต่ก่อน</t>
  </si>
  <si>
    <t xml:space="preserve">หน้าตา</t>
  </si>
  <si>
    <t xml:space="preserve">ครบ</t>
  </si>
  <si>
    <t xml:space="preserve">ติดตาม</t>
  </si>
  <si>
    <t xml:space="preserve">รถไฟ</t>
  </si>
  <si>
    <t xml:space="preserve">ค่าย</t>
  </si>
  <si>
    <t xml:space="preserve">น้ำตา</t>
  </si>
  <si>
    <t xml:space="preserve">พ่อค้า</t>
  </si>
  <si>
    <t xml:space="preserve">ตอนนี้</t>
  </si>
  <si>
    <t xml:space="preserve">ถ้ำ</t>
  </si>
  <si>
    <t xml:space="preserve">คำสั่ง</t>
  </si>
  <si>
    <t xml:space="preserve">เตือน</t>
  </si>
  <si>
    <t xml:space="preserve">สมบัติ</t>
  </si>
  <si>
    <t xml:space="preserve">แม้แต่</t>
  </si>
  <si>
    <t xml:space="preserve">คนเรา</t>
  </si>
  <si>
    <t xml:space="preserve">ส่วนตัว</t>
  </si>
  <si>
    <t xml:space="preserve">คำตอบ</t>
  </si>
  <si>
    <t xml:space="preserve">แคว้น</t>
  </si>
  <si>
    <t xml:space="preserve">คลอง</t>
  </si>
  <si>
    <t xml:space="preserve">อำเภอ</t>
  </si>
  <si>
    <t xml:space="preserve">หน้าต่าง</t>
  </si>
  <si>
    <t xml:space="preserve">ตัวสะกด</t>
  </si>
  <si>
    <t xml:space="preserve">เครื่องหมาย</t>
  </si>
  <si>
    <t xml:space="preserve">มั่นคง</t>
  </si>
  <si>
    <t xml:space="preserve">มิตร</t>
  </si>
  <si>
    <t xml:space="preserve">เต่า</t>
  </si>
  <si>
    <t xml:space="preserve">เพียงแต่</t>
  </si>
  <si>
    <t xml:space="preserve">แต่ว่า</t>
  </si>
  <si>
    <t xml:space="preserve">ปกครอง</t>
  </si>
  <si>
    <t xml:space="preserve">บท 15 · ด่าน 5 · แป้นใหม่: ุ ึ</t>
  </si>
  <si>
    <t xml:space="preserve">หนึ่ง</t>
  </si>
  <si>
    <t xml:space="preserve">ถึง</t>
  </si>
  <si>
    <t xml:space="preserve">ทุก</t>
  </si>
  <si>
    <t xml:space="preserve">ที่สุด</t>
  </si>
  <si>
    <t xml:space="preserve">บุคคล</t>
  </si>
  <si>
    <t xml:space="preserve">เหตุ</t>
  </si>
  <si>
    <t xml:space="preserve">นึก</t>
  </si>
  <si>
    <t xml:space="preserve">หยุด</t>
  </si>
  <si>
    <t xml:space="preserve">กลุ่ม</t>
  </si>
  <si>
    <t xml:space="preserve">อายุ</t>
  </si>
  <si>
    <t xml:space="preserve">เหตุผล</t>
  </si>
  <si>
    <t xml:space="preserve">ลุก</t>
  </si>
  <si>
    <t xml:space="preserve">หมายถึง</t>
  </si>
  <si>
    <t xml:space="preserve">ลุง</t>
  </si>
  <si>
    <t xml:space="preserve">บุตร</t>
  </si>
  <si>
    <t xml:space="preserve">สนุก</t>
  </si>
  <si>
    <t xml:space="preserve">กรุง</t>
  </si>
  <si>
    <t xml:space="preserve">หนุ่ม</t>
  </si>
  <si>
    <t xml:space="preserve">คุย</t>
  </si>
  <si>
    <t xml:space="preserve">สุด</t>
  </si>
  <si>
    <t xml:space="preserve">ในที่สุด</t>
  </si>
  <si>
    <t xml:space="preserve">บันทึก</t>
  </si>
  <si>
    <t xml:space="preserve">คิดถึง</t>
  </si>
  <si>
    <t xml:space="preserve">กล่าวถึง</t>
  </si>
  <si>
    <t xml:space="preserve">สุดท้าย</t>
  </si>
  <si>
    <t xml:space="preserve">กุมาร</t>
  </si>
  <si>
    <t xml:space="preserve">รุ่ง</t>
  </si>
  <si>
    <t xml:space="preserve">สุภาพ</t>
  </si>
  <si>
    <t xml:space="preserve">ครึ่ง</t>
  </si>
  <si>
    <t xml:space="preserve">สรุป</t>
  </si>
  <si>
    <t xml:space="preserve">ทุ่ง</t>
  </si>
  <si>
    <t xml:space="preserve">สนุกสนาน</t>
  </si>
  <si>
    <t xml:space="preserve">นึกถึง</t>
  </si>
  <si>
    <t xml:space="preserve">ฝึก</t>
  </si>
  <si>
    <t xml:space="preserve">ดึง</t>
  </si>
  <si>
    <t xml:space="preserve">ถุง</t>
  </si>
  <si>
    <t xml:space="preserve">พรุ่งนี้</t>
  </si>
  <si>
    <t xml:space="preserve">พึง</t>
  </si>
  <si>
    <t xml:space="preserve">ลึก</t>
  </si>
  <si>
    <t xml:space="preserve">ดุ</t>
  </si>
  <si>
    <t xml:space="preserve">อุ้ม</t>
  </si>
  <si>
    <t xml:space="preserve">ทุกๆ</t>
  </si>
  <si>
    <t xml:space="preserve">สมุด</t>
  </si>
  <si>
    <t xml:space="preserve">คำนึง</t>
  </si>
  <si>
    <t xml:space="preserve">รึ</t>
  </si>
  <si>
    <t xml:space="preserve">รุ่น</t>
  </si>
  <si>
    <t xml:space="preserve">สนับสนุน</t>
  </si>
  <si>
    <t xml:space="preserve">มุ่ง</t>
  </si>
  <si>
    <t xml:space="preserve">ผึ้ง</t>
  </si>
  <si>
    <t xml:space="preserve">คุม</t>
  </si>
  <si>
    <t xml:space="preserve">อุบาย</t>
  </si>
  <si>
    <t xml:space="preserve">หลุด</t>
  </si>
  <si>
    <t xml:space="preserve">ทุกที</t>
  </si>
  <si>
    <t xml:space="preserve">ถึงกับ</t>
  </si>
  <si>
    <t xml:space="preserve">ตึก</t>
  </si>
  <si>
    <t xml:space="preserve">สาเหตุ</t>
  </si>
  <si>
    <t xml:space="preserve">มุม</t>
  </si>
  <si>
    <t xml:space="preserve">อุปสรรค</t>
  </si>
  <si>
    <t xml:space="preserve">อนึ่ง</t>
  </si>
  <si>
    <t xml:space="preserve">สุ</t>
  </si>
  <si>
    <t xml:space="preserve">ทุกวันนี้</t>
  </si>
  <si>
    <t xml:space="preserve">พึ่ง</t>
  </si>
  <si>
    <t xml:space="preserve">ยึด</t>
  </si>
  <si>
    <t xml:space="preserve">สุก</t>
  </si>
  <si>
    <t xml:space="preserve">กรุงเทพ</t>
  </si>
  <si>
    <t xml:space="preserve">พุ่ง</t>
  </si>
  <si>
    <t xml:space="preserve">วิทยุ</t>
  </si>
  <si>
    <t xml:space="preserve">หมุน</t>
  </si>
  <si>
    <t xml:space="preserve">วัตถุ</t>
  </si>
  <si>
    <t xml:space="preserve">บึง</t>
  </si>
  <si>
    <t xml:space="preserve">อุทาน</t>
  </si>
  <si>
    <t xml:space="preserve">ดึก</t>
  </si>
  <si>
    <t xml:space="preserve">หลุม</t>
  </si>
  <si>
    <t xml:space="preserve">กระสุน</t>
  </si>
  <si>
    <t xml:space="preserve">หนึ่งๆ</t>
  </si>
  <si>
    <t xml:space="preserve">ฝึกฝน</t>
  </si>
  <si>
    <t xml:space="preserve">ควบคุม</t>
  </si>
  <si>
    <t xml:space="preserve">บรรทุก</t>
  </si>
  <si>
    <t xml:space="preserve">ทุน</t>
  </si>
  <si>
    <t xml:space="preserve">ระลึก</t>
  </si>
  <si>
    <t xml:space="preserve">หุ่น</t>
  </si>
  <si>
    <t xml:space="preserve">ยุค</t>
  </si>
  <si>
    <t xml:space="preserve">กุ้ง</t>
  </si>
  <si>
    <t xml:space="preserve">วุ่นวาย</t>
  </si>
  <si>
    <t xml:space="preserve">ยุ่ง</t>
  </si>
  <si>
    <t xml:space="preserve">บำรุง</t>
  </si>
  <si>
    <t xml:space="preserve">คุ้นเคย</t>
  </si>
  <si>
    <t xml:space="preserve">ถึงแม้</t>
  </si>
  <si>
    <t xml:space="preserve">พุ่ม</t>
  </si>
  <si>
    <t xml:space="preserve">สำนึก</t>
  </si>
  <si>
    <t xml:space="preserve">รุ่งเรือง</t>
  </si>
  <si>
    <t xml:space="preserve">มุ่งหมาย</t>
  </si>
  <si>
    <t xml:space="preserve">คลุม</t>
  </si>
  <si>
    <t xml:space="preserve">อบอุ่น</t>
  </si>
  <si>
    <t xml:space="preserve">สกุล</t>
  </si>
  <si>
    <t xml:space="preserve">นุ่ง</t>
  </si>
  <si>
    <t xml:space="preserve">ละมุน</t>
  </si>
  <si>
    <t xml:space="preserve">กุหลาบ</t>
  </si>
  <si>
    <t xml:space="preserve">หุง</t>
  </si>
  <si>
    <t xml:space="preserve">รุนแรง</t>
  </si>
  <si>
    <t xml:space="preserve">ประหนึ่ง</t>
  </si>
  <si>
    <t xml:space="preserve">ปรับปรุง</t>
  </si>
  <si>
    <t xml:space="preserve">ทุ่ม</t>
  </si>
  <si>
    <t xml:space="preserve">อุ</t>
  </si>
  <si>
    <t xml:space="preserve">มุ้ง</t>
  </si>
  <si>
    <t xml:space="preserve">พึมพำ</t>
  </si>
  <si>
    <t xml:space="preserve">ฝึกหัด</t>
  </si>
  <si>
    <t xml:space="preserve">รำพึง</t>
  </si>
  <si>
    <t xml:space="preserve">มุง</t>
  </si>
  <si>
    <t xml:space="preserve">น้ำผึ้ง</t>
  </si>
  <si>
    <t xml:space="preserve">อุตสาหกรรม</t>
  </si>
  <si>
    <t xml:space="preserve">ปลุก</t>
  </si>
  <si>
    <t xml:space="preserve">นึกคิด</t>
  </si>
  <si>
    <t xml:space="preserve">ใต้ถุน</t>
  </si>
  <si>
    <t xml:space="preserve">ปรุง</t>
  </si>
  <si>
    <t xml:space="preserve">สะดุ้ง</t>
  </si>
  <si>
    <t xml:space="preserve">ห้องสมุด</t>
  </si>
  <si>
    <t xml:space="preserve">อุ่น</t>
  </si>
  <si>
    <t xml:space="preserve">หุ้ม</t>
  </si>
  <si>
    <t xml:space="preserve">ครุ</t>
  </si>
  <si>
    <t xml:space="preserve">ถึงแม้ว่า</t>
  </si>
  <si>
    <t xml:space="preserve">สมมุติ</t>
  </si>
  <si>
    <t xml:space="preserve">ฟุ้ง</t>
  </si>
  <si>
    <t xml:space="preserve">ตรึกตรอง</t>
  </si>
  <si>
    <t xml:space="preserve">บุพบท</t>
  </si>
  <si>
    <t xml:space="preserve">พายุ</t>
  </si>
  <si>
    <t xml:space="preserve">อุปมา</t>
  </si>
  <si>
    <t xml:space="preserve">รุม</t>
  </si>
  <si>
    <t xml:space="preserve">วันหยุด</t>
  </si>
  <si>
    <t xml:space="preserve">อุตสาหะ</t>
  </si>
  <si>
    <t xml:space="preserve">ยุ</t>
  </si>
  <si>
    <t xml:space="preserve">คล้ายคลึง</t>
  </si>
  <si>
    <t xml:space="preserve">กุ</t>
  </si>
  <si>
    <t xml:space="preserve">อนุมาน</t>
  </si>
  <si>
    <t xml:space="preserve">สมุนไพร</t>
  </si>
  <si>
    <t xml:space="preserve">ลหุ</t>
  </si>
  <si>
    <t xml:space="preserve">สุนทร</t>
  </si>
  <si>
    <t xml:space="preserve">คุ้มครอง</t>
  </si>
  <si>
    <t xml:space="preserve">สิ้นสุด</t>
  </si>
  <si>
    <t xml:space="preserve">ถึงคราว</t>
  </si>
  <si>
    <t xml:space="preserve">ลุ่ม</t>
  </si>
  <si>
    <t xml:space="preserve">ทุกแห่ง</t>
  </si>
  <si>
    <t xml:space="preserve">ดุร้าย</t>
  </si>
  <si>
    <t xml:space="preserve">บรรลุ</t>
  </si>
  <si>
    <t xml:space="preserve">กึ่ง</t>
  </si>
  <si>
    <t xml:space="preserve">ทะลุ</t>
  </si>
  <si>
    <t xml:space="preserve">ระบุ</t>
  </si>
  <si>
    <t xml:space="preserve">อึ่งอ่าง</t>
  </si>
  <si>
    <t xml:space="preserve">รุ้ง</t>
  </si>
  <si>
    <t xml:space="preserve">ปุ</t>
  </si>
  <si>
    <t xml:space="preserve">บท 16 · ด่าน 5 · แป้นใหม่: จ ข ช</t>
  </si>
  <si>
    <t xml:space="preserve">จะ</t>
  </si>
  <si>
    <t xml:space="preserve">ของ</t>
  </si>
  <si>
    <t xml:space="preserve">เขา</t>
  </si>
  <si>
    <t xml:space="preserve">ขึ้น</t>
  </si>
  <si>
    <t xml:space="preserve">จึง</t>
  </si>
  <si>
    <t xml:space="preserve">ใช้</t>
  </si>
  <si>
    <t xml:space="preserve">จาก</t>
  </si>
  <si>
    <t xml:space="preserve">เข้า</t>
  </si>
  <si>
    <t xml:space="preserve">เช่น</t>
  </si>
  <si>
    <t xml:space="preserve">จน</t>
  </si>
  <si>
    <t xml:space="preserve">ช่วย</t>
  </si>
  <si>
    <t xml:space="preserve">เจ้า</t>
  </si>
  <si>
    <t xml:space="preserve">อาจ</t>
  </si>
  <si>
    <t xml:space="preserve">ข้าพเจ้า</t>
  </si>
  <si>
    <t xml:space="preserve">ใจ</t>
  </si>
  <si>
    <t xml:space="preserve">ขอ</t>
  </si>
  <si>
    <t xml:space="preserve">เขียน</t>
  </si>
  <si>
    <t xml:space="preserve">ชอบ</t>
  </si>
  <si>
    <t xml:space="preserve">ชื่อ</t>
  </si>
  <si>
    <t xml:space="preserve">จริง</t>
  </si>
  <si>
    <t xml:space="preserve">ชีวิต</t>
  </si>
  <si>
    <t xml:space="preserve">เข้าใจ</t>
  </si>
  <si>
    <t xml:space="preserve">ข้า</t>
  </si>
  <si>
    <t xml:space="preserve">ใช่</t>
  </si>
  <si>
    <t xml:space="preserve">จับ</t>
  </si>
  <si>
    <t xml:space="preserve">ชาย</t>
  </si>
  <si>
    <t xml:space="preserve">ข้าง</t>
  </si>
  <si>
    <t xml:space="preserve">ขาย</t>
  </si>
  <si>
    <t xml:space="preserve">ชนิด</t>
  </si>
  <si>
    <t xml:space="preserve">ข้าว</t>
  </si>
  <si>
    <t xml:space="preserve">สุข</t>
  </si>
  <si>
    <t xml:space="preserve">ชั้น</t>
  </si>
  <si>
    <t xml:space="preserve">ชาว</t>
  </si>
  <si>
    <t xml:space="preserve">จัด</t>
  </si>
  <si>
    <t xml:space="preserve">จง</t>
  </si>
  <si>
    <t xml:space="preserve">ช้าง</t>
  </si>
  <si>
    <t xml:space="preserve">จำ</t>
  </si>
  <si>
    <t xml:space="preserve">ราช</t>
  </si>
  <si>
    <t xml:space="preserve">เช้า</t>
  </si>
  <si>
    <t xml:space="preserve">เชื่อ</t>
  </si>
  <si>
    <t xml:space="preserve">ข้อ</t>
  </si>
  <si>
    <t xml:space="preserve">เช่นนี้</t>
  </si>
  <si>
    <t xml:space="preserve">จริงๆ</t>
  </si>
  <si>
    <t xml:space="preserve">ชาติ</t>
  </si>
  <si>
    <t xml:space="preserve">สนใจ</t>
  </si>
  <si>
    <t xml:space="preserve">ประชุม</t>
  </si>
  <si>
    <t xml:space="preserve">ชวน</t>
  </si>
  <si>
    <t xml:space="preserve">วิชา</t>
  </si>
  <si>
    <t xml:space="preserve">เช่นนั้น</t>
  </si>
  <si>
    <t xml:space="preserve">ขาว</t>
  </si>
  <si>
    <t xml:space="preserve">เจ้าของ</t>
  </si>
  <si>
    <t xml:space="preserve">ขน</t>
  </si>
  <si>
    <t xml:space="preserve">จบ</t>
  </si>
  <si>
    <t xml:space="preserve">ข้อความ</t>
  </si>
  <si>
    <t xml:space="preserve">ประจำ</t>
  </si>
  <si>
    <t xml:space="preserve">จำนวน</t>
  </si>
  <si>
    <t xml:space="preserve">ขาด</t>
  </si>
  <si>
    <t xml:space="preserve">ชม</t>
  </si>
  <si>
    <t xml:space="preserve">ช่าง</t>
  </si>
  <si>
    <t xml:space="preserve">นอกจาก</t>
  </si>
  <si>
    <t xml:space="preserve">ขา</t>
  </si>
  <si>
    <t xml:space="preserve">จดหมาย</t>
  </si>
  <si>
    <t xml:space="preserve">ตั้งใจ</t>
  </si>
  <si>
    <t xml:space="preserve">พอใจ</t>
  </si>
  <si>
    <t xml:space="preserve">ดีใจ</t>
  </si>
  <si>
    <t xml:space="preserve">ช้า</t>
  </si>
  <si>
    <t xml:space="preserve">ชาวบ้าน</t>
  </si>
  <si>
    <t xml:space="preserve">ตกใจ</t>
  </si>
  <si>
    <t xml:space="preserve">ขนาด</t>
  </si>
  <si>
    <t xml:space="preserve">ชี้</t>
  </si>
  <si>
    <t xml:space="preserve">ชั่ว</t>
  </si>
  <si>
    <t xml:space="preserve">ขนม</t>
  </si>
  <si>
    <t xml:space="preserve">ปัจจุบัน</t>
  </si>
  <si>
    <t xml:space="preserve">ขยาย</t>
  </si>
  <si>
    <t xml:space="preserve">จนถึง</t>
  </si>
  <si>
    <t xml:space="preserve">ชัดเจน</t>
  </si>
  <si>
    <t xml:space="preserve">ไข่</t>
  </si>
  <si>
    <t xml:space="preserve">จ้ะ</t>
  </si>
  <si>
    <t xml:space="preserve">แจ้ง</t>
  </si>
  <si>
    <t xml:space="preserve">ข่าว</t>
  </si>
  <si>
    <t xml:space="preserve">จีน</t>
  </si>
  <si>
    <t xml:space="preserve">จังหวัด</t>
  </si>
  <si>
    <t xml:space="preserve">ชน</t>
  </si>
  <si>
    <t xml:space="preserve">ขับ</t>
  </si>
  <si>
    <t xml:space="preserve">มิใช่</t>
  </si>
  <si>
    <t xml:space="preserve">พระเจ้า</t>
  </si>
  <si>
    <t xml:space="preserve">ช่วยเหลือ</t>
  </si>
  <si>
    <t xml:space="preserve">ราชการ</t>
  </si>
  <si>
    <t xml:space="preserve">เขียว</t>
  </si>
  <si>
    <t xml:space="preserve">อำนาจ</t>
  </si>
  <si>
    <t xml:space="preserve">ข้าม</t>
  </si>
  <si>
    <t xml:space="preserve">จิต</t>
  </si>
  <si>
    <t xml:space="preserve">ขอรับ</t>
  </si>
  <si>
    <t xml:space="preserve">เชิง</t>
  </si>
  <si>
    <t xml:space="preserve">จุด</t>
  </si>
  <si>
    <t xml:space="preserve">เชือก</t>
  </si>
  <si>
    <t xml:space="preserve">จิตใจ</t>
  </si>
  <si>
    <t xml:space="preserve">แขน</t>
  </si>
  <si>
    <t xml:space="preserve">พืช</t>
  </si>
  <si>
    <t xml:space="preserve">ขี่</t>
  </si>
  <si>
    <t xml:space="preserve">เสียใจ</t>
  </si>
  <si>
    <t xml:space="preserve">ชาวนา</t>
  </si>
  <si>
    <t xml:space="preserve">ข้างหน้า</t>
  </si>
  <si>
    <t xml:space="preserve">หัวใจ</t>
  </si>
  <si>
    <t xml:space="preserve">จนกระทั่ง</t>
  </si>
  <si>
    <t xml:space="preserve">ชัก</t>
  </si>
  <si>
    <t xml:space="preserve">ประชาชน</t>
  </si>
  <si>
    <t xml:space="preserve">หลังจาก</t>
  </si>
  <si>
    <t xml:space="preserve">จด</t>
  </si>
  <si>
    <t xml:space="preserve">นอกจากนี้</t>
  </si>
  <si>
    <t xml:space="preserve">ขัน</t>
  </si>
  <si>
    <t xml:space="preserve">กิจกรรม</t>
  </si>
  <si>
    <t xml:space="preserve">อาชีพ</t>
  </si>
  <si>
    <t xml:space="preserve">ขุด</t>
  </si>
  <si>
    <t xml:space="preserve">ช่วง</t>
  </si>
  <si>
    <t xml:space="preserve">แก้ไข</t>
  </si>
  <si>
    <t xml:space="preserve">จัก</t>
  </si>
  <si>
    <t xml:space="preserve">ชัด</t>
  </si>
  <si>
    <t xml:space="preserve">ชุด</t>
  </si>
  <si>
    <t xml:space="preserve">วาจา</t>
  </si>
  <si>
    <t xml:space="preserve">ตำรวจ</t>
  </si>
  <si>
    <t xml:space="preserve">ขยัน</t>
  </si>
  <si>
    <t xml:space="preserve">แข่งขัน</t>
  </si>
  <si>
    <t xml:space="preserve">ขวา</t>
  </si>
  <si>
    <t xml:space="preserve">ข้างต้น</t>
  </si>
  <si>
    <t xml:space="preserve">พี่ชาย</t>
  </si>
  <si>
    <t xml:space="preserve">พระราชา</t>
  </si>
  <si>
    <t xml:space="preserve">สิ่งของ</t>
  </si>
  <si>
    <t xml:space="preserve">แท้จริง</t>
  </si>
  <si>
    <t xml:space="preserve">สุนัข</t>
  </si>
  <si>
    <t xml:space="preserve">ค่อนข้าง</t>
  </si>
  <si>
    <t xml:space="preserve">ขอบใจ</t>
  </si>
  <si>
    <t xml:space="preserve">จังหวะ</t>
  </si>
  <si>
    <t xml:space="preserve">พระราชทาน</t>
  </si>
  <si>
    <t xml:space="preserve">เช่นเดียว</t>
  </si>
  <si>
    <t xml:space="preserve">จัดการ</t>
  </si>
  <si>
    <t xml:space="preserve">เชื่อม</t>
  </si>
  <si>
    <t xml:space="preserve">รัชกาล</t>
  </si>
  <si>
    <t xml:space="preserve">น้ำใจ</t>
  </si>
  <si>
    <t xml:space="preserve">เอาใจใส่</t>
  </si>
  <si>
    <t xml:space="preserve">ชายหนุ่ม</t>
  </si>
  <si>
    <t xml:space="preserve">ตรวจ</t>
  </si>
  <si>
    <t xml:space="preserve">ตัดสินใจ</t>
  </si>
  <si>
    <t xml:space="preserve">เขต</t>
  </si>
  <si>
    <t xml:space="preserve">จากนั้น</t>
  </si>
  <si>
    <t xml:space="preserve">ขั้น</t>
  </si>
  <si>
    <t xml:space="preserve">ชี้แจง</t>
  </si>
  <si>
    <t xml:space="preserve">ชนะ</t>
  </si>
  <si>
    <t xml:space="preserve">จ้อง</t>
  </si>
  <si>
    <t xml:space="preserve">ที่จริง</t>
  </si>
  <si>
    <t xml:space="preserve">บท 18 · ด่าน 6 · แป้นใหม่: โ ธ ณ</t>
  </si>
  <si>
    <t xml:space="preserve">โดย</t>
  </si>
  <si>
    <t xml:space="preserve">เธอ</t>
  </si>
  <si>
    <t xml:space="preserve">คุณ</t>
  </si>
  <si>
    <t xml:space="preserve">โรงเรียน</t>
  </si>
  <si>
    <t xml:space="preserve">ประโยค</t>
  </si>
  <si>
    <t xml:space="preserve">โลก</t>
  </si>
  <si>
    <t xml:space="preserve">คุณแม่</t>
  </si>
  <si>
    <t xml:space="preserve">วิธี</t>
  </si>
  <si>
    <t xml:space="preserve">โอกาส</t>
  </si>
  <si>
    <t xml:space="preserve">โต</t>
  </si>
  <si>
    <t xml:space="preserve">พิจารณา</t>
  </si>
  <si>
    <t xml:space="preserve">โกรธ</t>
  </si>
  <si>
    <t xml:space="preserve">อธิบาย</t>
  </si>
  <si>
    <t xml:space="preserve">ธรรมชาติ</t>
  </si>
  <si>
    <t xml:space="preserve">ขณะที่</t>
  </si>
  <si>
    <t xml:space="preserve">วรรณคดี</t>
  </si>
  <si>
    <t xml:space="preserve">ประมาณ</t>
  </si>
  <si>
    <t xml:space="preserve">คุณพ่อ</t>
  </si>
  <si>
    <t xml:space="preserve">บริเวณ</t>
  </si>
  <si>
    <t xml:space="preserve">โรง</t>
  </si>
  <si>
    <t xml:space="preserve">กระโดด</t>
  </si>
  <si>
    <t xml:space="preserve">โปรด</t>
  </si>
  <si>
    <t xml:space="preserve">ธรรม</t>
  </si>
  <si>
    <t xml:space="preserve">ประธาน</t>
  </si>
  <si>
    <t xml:space="preserve">ธรรมดา</t>
  </si>
  <si>
    <t xml:space="preserve">คุณย่า</t>
  </si>
  <si>
    <t xml:space="preserve">คุณค่า</t>
  </si>
  <si>
    <t xml:space="preserve">วิธีการ</t>
  </si>
  <si>
    <t xml:space="preserve">คณะ</t>
  </si>
  <si>
    <t xml:space="preserve">โบราณ</t>
  </si>
  <si>
    <t xml:space="preserve">โรค</t>
  </si>
  <si>
    <t xml:space="preserve">โคลง</t>
  </si>
  <si>
    <t xml:space="preserve">ประเพณี</t>
  </si>
  <si>
    <t xml:space="preserve">ขณะ</t>
  </si>
  <si>
    <t xml:space="preserve">พิธี</t>
  </si>
  <si>
    <t xml:space="preserve">กรุณา</t>
  </si>
  <si>
    <t xml:space="preserve">โจร</t>
  </si>
  <si>
    <t xml:space="preserve">ตะโกน</t>
  </si>
  <si>
    <t xml:space="preserve">คุณยาย</t>
  </si>
  <si>
    <t xml:space="preserve">โขลง</t>
  </si>
  <si>
    <t xml:space="preserve">ขอบคุณ</t>
  </si>
  <si>
    <t xml:space="preserve">ธุระ</t>
  </si>
  <si>
    <t xml:space="preserve">โน้น</t>
  </si>
  <si>
    <t xml:space="preserve">ขณะนั้น</t>
  </si>
  <si>
    <t xml:space="preserve">กรณี</t>
  </si>
  <si>
    <t xml:space="preserve">โต้แย้ง</t>
  </si>
  <si>
    <t xml:space="preserve">ชั่วโมง</t>
  </si>
  <si>
    <t xml:space="preserve">ขโมย</t>
  </si>
  <si>
    <t xml:space="preserve">โน้มน้าว</t>
  </si>
  <si>
    <t xml:space="preserve">โง่</t>
  </si>
  <si>
    <t xml:space="preserve">พุทธ</t>
  </si>
  <si>
    <t xml:space="preserve">เจ้าคุณ</t>
  </si>
  <si>
    <t xml:space="preserve">ลำธาร</t>
  </si>
  <si>
    <t xml:space="preserve">โอ</t>
  </si>
  <si>
    <t xml:space="preserve">ในขณะที่</t>
  </si>
  <si>
    <t xml:space="preserve">อาวุธ</t>
  </si>
  <si>
    <t xml:space="preserve">เติบโต</t>
  </si>
  <si>
    <t xml:space="preserve">โน่น</t>
  </si>
  <si>
    <t xml:space="preserve">โดน</t>
  </si>
  <si>
    <t xml:space="preserve">โท</t>
  </si>
  <si>
    <t xml:space="preserve">โค</t>
  </si>
  <si>
    <t xml:space="preserve">ธิดา</t>
  </si>
  <si>
    <t xml:space="preserve">โวหาร</t>
  </si>
  <si>
    <t xml:space="preserve">สุโขทัย</t>
  </si>
  <si>
    <t xml:space="preserve">โรงพยาบาล</t>
  </si>
  <si>
    <t xml:space="preserve">คุณตา</t>
  </si>
  <si>
    <t xml:space="preserve">โมง</t>
  </si>
  <si>
    <t xml:space="preserve">คุณธรรม</t>
  </si>
  <si>
    <t xml:space="preserve">โชคดี</t>
  </si>
  <si>
    <t xml:space="preserve">โผล่</t>
  </si>
  <si>
    <t xml:space="preserve">ขณะนี้</t>
  </si>
  <si>
    <t xml:space="preserve">โอรส</t>
  </si>
  <si>
    <t xml:space="preserve">โยน</t>
  </si>
  <si>
    <t xml:space="preserve">คุณลุง</t>
  </si>
  <si>
    <t xml:space="preserve">สันธาน</t>
  </si>
  <si>
    <t xml:space="preserve">โครงการ</t>
  </si>
  <si>
    <t xml:space="preserve">โพรง</t>
  </si>
  <si>
    <t xml:space="preserve">โคน</t>
  </si>
  <si>
    <t xml:space="preserve">พรรณนา</t>
  </si>
  <si>
    <t xml:space="preserve">โชค</t>
  </si>
  <si>
    <t xml:space="preserve">ธาตุ</t>
  </si>
  <si>
    <t xml:space="preserve">ธง</t>
  </si>
  <si>
    <t xml:space="preserve">คุณนาย</t>
  </si>
  <si>
    <t xml:space="preserve">วรรณกรรม</t>
  </si>
  <si>
    <t xml:space="preserve">โจน</t>
  </si>
  <si>
    <t xml:space="preserve">โดยทั่วไป</t>
  </si>
  <si>
    <t xml:space="preserve">พระพุทธเจ้า</t>
  </si>
  <si>
    <t xml:space="preserve">โดยตรง</t>
  </si>
  <si>
    <t xml:space="preserve">โครง</t>
  </si>
  <si>
    <t xml:space="preserve">เทคโนโลยี</t>
  </si>
  <si>
    <t xml:space="preserve">ยุโรป</t>
  </si>
  <si>
    <t xml:space="preserve">บริโภค</t>
  </si>
  <si>
    <t xml:space="preserve">อิทธิพล</t>
  </si>
  <si>
    <t xml:space="preserve">โปรดเกล้า</t>
  </si>
  <si>
    <t xml:space="preserve">โธ่</t>
  </si>
  <si>
    <t xml:space="preserve">โลหิต</t>
  </si>
  <si>
    <t xml:space="preserve">ยุติธรรม</t>
  </si>
  <si>
    <t xml:space="preserve">โรงแรม</t>
  </si>
  <si>
    <t xml:space="preserve">กลวิธี</t>
  </si>
  <si>
    <t xml:space="preserve">โล่ง</t>
  </si>
  <si>
    <t xml:space="preserve">พระกรุณา</t>
  </si>
  <si>
    <t xml:space="preserve">โคลน</t>
  </si>
  <si>
    <t xml:space="preserve">พระคุณ</t>
  </si>
  <si>
    <t xml:space="preserve">คุณสมบัติ</t>
  </si>
  <si>
    <t xml:space="preserve">กิจธุระ</t>
  </si>
  <si>
    <t xml:space="preserve">โห่</t>
  </si>
  <si>
    <t xml:space="preserve">ข้าวโพด</t>
  </si>
  <si>
    <t xml:space="preserve">โต้ตอบ</t>
  </si>
  <si>
    <t xml:space="preserve">ละโว้</t>
  </si>
  <si>
    <t xml:space="preserve">ธรรมเนียม</t>
  </si>
  <si>
    <t xml:space="preserve">โทรเลข</t>
  </si>
  <si>
    <t xml:space="preserve">สาธารณะ</t>
  </si>
  <si>
    <t xml:space="preserve">คุณป้า</t>
  </si>
  <si>
    <t xml:space="preserve">คุณภาพ</t>
  </si>
  <si>
    <t xml:space="preserve">โรงงาน</t>
  </si>
  <si>
    <t xml:space="preserve">โขน</t>
  </si>
  <si>
    <t xml:space="preserve">โค้ง</t>
  </si>
  <si>
    <t xml:space="preserve">โคร่ง</t>
  </si>
  <si>
    <t xml:space="preserve">อยุธยา</t>
  </si>
  <si>
    <t xml:space="preserve">โดยที่</t>
  </si>
  <si>
    <t xml:space="preserve">ธนาคาร</t>
  </si>
  <si>
    <t xml:space="preserve">โอ่ง</t>
  </si>
  <si>
    <t xml:space="preserve">โมโห</t>
  </si>
  <si>
    <t xml:space="preserve">โดยสาร</t>
  </si>
  <si>
    <t xml:space="preserve">พาราณสี</t>
  </si>
  <si>
    <t xml:space="preserve">อ่อนโยน</t>
  </si>
  <si>
    <t xml:space="preserve">ประณีต</t>
  </si>
  <si>
    <t xml:space="preserve">ในขณะนั้น</t>
  </si>
  <si>
    <t xml:space="preserve">ชะโงก</t>
  </si>
  <si>
    <t xml:space="preserve">กระโจน</t>
  </si>
  <si>
    <t xml:space="preserve">พรรณ</t>
  </si>
  <si>
    <t xml:space="preserve">โยคี</t>
  </si>
  <si>
    <t xml:space="preserve">ราชธานี</t>
  </si>
  <si>
    <t xml:space="preserve">ประสิทธิภาพ</t>
  </si>
  <si>
    <t xml:space="preserve">โอ้</t>
  </si>
  <si>
    <t xml:space="preserve">อรุณ</t>
  </si>
  <si>
    <t xml:space="preserve">โครงเรื่อง</t>
  </si>
  <si>
    <t xml:space="preserve">โตๆ</t>
  </si>
  <si>
    <t xml:space="preserve">โรงนา</t>
  </si>
  <si>
    <t xml:space="preserve">สนธิ</t>
  </si>
  <si>
    <t xml:space="preserve">แตงโม</t>
  </si>
  <si>
    <t xml:space="preserve">คณะกรรมการ</t>
  </si>
  <si>
    <t xml:space="preserve">โกง</t>
  </si>
  <si>
    <t xml:space="preserve">สิทธิ</t>
  </si>
  <si>
    <t xml:space="preserve">โดด</t>
  </si>
  <si>
    <t xml:space="preserve">อุโบสถ</t>
  </si>
  <si>
    <t xml:space="preserve">โน</t>
  </si>
  <si>
    <t xml:space="preserve">คำอธิบาย</t>
  </si>
  <si>
    <t xml:space="preserve">โหร</t>
  </si>
  <si>
    <t xml:space="preserve">โอบ</t>
  </si>
  <si>
    <t xml:space="preserve">บท 19 · ด่าน 6 · แป้นใหม่: ็ ์ ฉ</t>
  </si>
  <si>
    <t xml:space="preserve">เป็น</t>
  </si>
  <si>
    <t xml:space="preserve">ก็</t>
  </si>
  <si>
    <t xml:space="preserve">ฉัน</t>
  </si>
  <si>
    <t xml:space="preserve">เห็น</t>
  </si>
  <si>
    <t xml:space="preserve">เด็ก</t>
  </si>
  <si>
    <t xml:space="preserve">สัตว์</t>
  </si>
  <si>
    <t xml:space="preserve">ประโยชน์</t>
  </si>
  <si>
    <t xml:space="preserve">พระองค์</t>
  </si>
  <si>
    <t xml:space="preserve">เล็ก</t>
  </si>
  <si>
    <t xml:space="preserve">เป็นต้น</t>
  </si>
  <si>
    <t xml:space="preserve">เด็กๆ</t>
  </si>
  <si>
    <t xml:space="preserve">เล็กๆ</t>
  </si>
  <si>
    <t xml:space="preserve">เสร็จ</t>
  </si>
  <si>
    <t xml:space="preserve">เย็น</t>
  </si>
  <si>
    <t xml:space="preserve">อาจารย์</t>
  </si>
  <si>
    <t xml:space="preserve">จำเป็น</t>
  </si>
  <si>
    <t xml:space="preserve">เต็ม</t>
  </si>
  <si>
    <t xml:space="preserve">เสด็จ</t>
  </si>
  <si>
    <t xml:space="preserve">เร็ว</t>
  </si>
  <si>
    <t xml:space="preserve">องค์</t>
  </si>
  <si>
    <t xml:space="preserve">ทุกข์</t>
  </si>
  <si>
    <t xml:space="preserve">เฉพาะ</t>
  </si>
  <si>
    <t xml:space="preserve">เหตุการณ์</t>
  </si>
  <si>
    <t xml:space="preserve">สำเร็จ</t>
  </si>
  <si>
    <t xml:space="preserve">ประพันธ์</t>
  </si>
  <si>
    <t xml:space="preserve">อารมณ์</t>
  </si>
  <si>
    <t xml:space="preserve">พยางค์</t>
  </si>
  <si>
    <t xml:space="preserve">ก็ตาม</t>
  </si>
  <si>
    <t xml:space="preserve">ก็ดี</t>
  </si>
  <si>
    <t xml:space="preserve">สมเด็จ</t>
  </si>
  <si>
    <t xml:space="preserve">เล็กน้อย</t>
  </si>
  <si>
    <t xml:space="preserve">คิดเห็น</t>
  </si>
  <si>
    <t xml:space="preserve">ดิฉัน</t>
  </si>
  <si>
    <t xml:space="preserve">ฉลาด</t>
  </si>
  <si>
    <t xml:space="preserve">วรรณยุกต์</t>
  </si>
  <si>
    <t xml:space="preserve">ประสงค์</t>
  </si>
  <si>
    <t xml:space="preserve">เอ็ง</t>
  </si>
  <si>
    <t xml:space="preserve">ฉะนั้น</t>
  </si>
  <si>
    <t xml:space="preserve">เป็นอันมาก</t>
  </si>
  <si>
    <t xml:space="preserve">โดยเฉพาะ</t>
  </si>
  <si>
    <t xml:space="preserve">เจ็บ</t>
  </si>
  <si>
    <t xml:space="preserve">อาทิตย์</t>
  </si>
  <si>
    <t xml:space="preserve">รวดเร็ว</t>
  </si>
  <si>
    <t xml:space="preserve">ประเด็น</t>
  </si>
  <si>
    <t xml:space="preserve">เพราะฉะนั้น</t>
  </si>
  <si>
    <t xml:space="preserve">ทำเป็น</t>
  </si>
  <si>
    <t xml:space="preserve">แข็งแรง</t>
  </si>
  <si>
    <t xml:space="preserve">ฉบับ</t>
  </si>
  <si>
    <t xml:space="preserve">มองเห็น</t>
  </si>
  <si>
    <t xml:space="preserve">ทรัพย์</t>
  </si>
  <si>
    <t xml:space="preserve">พันธุ์</t>
  </si>
  <si>
    <t xml:space="preserve">เจ็ด</t>
  </si>
  <si>
    <t xml:space="preserve">วิเคราะห์</t>
  </si>
  <si>
    <t xml:space="preserve">เจดีย์</t>
  </si>
  <si>
    <t xml:space="preserve">เป็นไร</t>
  </si>
  <si>
    <t xml:space="preserve">เป็นอัน</t>
  </si>
  <si>
    <t xml:space="preserve">เห็นด้วย</t>
  </si>
  <si>
    <t xml:space="preserve">ประสบการณ์</t>
  </si>
  <si>
    <t xml:space="preserve">เด็กชาย</t>
  </si>
  <si>
    <t xml:space="preserve">ฉันท์</t>
  </si>
  <si>
    <t xml:space="preserve">สัมพันธ์</t>
  </si>
  <si>
    <t xml:space="preserve">เต็มที่</t>
  </si>
  <si>
    <t xml:space="preserve">เป็ด</t>
  </si>
  <si>
    <t xml:space="preserve">ราชสีห์</t>
  </si>
  <si>
    <t xml:space="preserve">แข็ง</t>
  </si>
  <si>
    <t xml:space="preserve">หนังสือพิมพ์</t>
  </si>
  <si>
    <t xml:space="preserve">สตางค์</t>
  </si>
  <si>
    <t xml:space="preserve">อำมาตย์</t>
  </si>
  <si>
    <t xml:space="preserve">ข้อเท็จจริง</t>
  </si>
  <si>
    <t xml:space="preserve">พราหมณ์</t>
  </si>
  <si>
    <t xml:space="preserve">เมล็ด</t>
  </si>
  <si>
    <t xml:space="preserve">กาพย์</t>
  </si>
  <si>
    <t xml:space="preserve">พิมพ์</t>
  </si>
  <si>
    <t xml:space="preserve">เร็วๆ</t>
  </si>
  <si>
    <t xml:space="preserve">วิจารณ์</t>
  </si>
  <si>
    <t xml:space="preserve">พระราชนิพนธ์</t>
  </si>
  <si>
    <t xml:space="preserve">เม็ด</t>
  </si>
  <si>
    <t xml:space="preserve">ดวงอาทิตย์</t>
  </si>
  <si>
    <t xml:space="preserve">สวรรค์</t>
  </si>
  <si>
    <t xml:space="preserve">สัปดาห์</t>
  </si>
  <si>
    <t xml:space="preserve">นัยน์ตา</t>
  </si>
  <si>
    <t xml:space="preserve">สังข์</t>
  </si>
  <si>
    <t xml:space="preserve">ดวงจันทร์</t>
  </si>
  <si>
    <t xml:space="preserve">คอมพิวเตอร์</t>
  </si>
  <si>
    <t xml:space="preserve">มิฉะนั้น</t>
  </si>
  <si>
    <t xml:space="preserve">รถยนต์</t>
  </si>
  <si>
    <t xml:space="preserve">ไฉน</t>
  </si>
  <si>
    <t xml:space="preserve">เคราะห์</t>
  </si>
  <si>
    <t xml:space="preserve">สัตย์</t>
  </si>
  <si>
    <t xml:space="preserve">เหล็ก</t>
  </si>
  <si>
    <t xml:space="preserve">สร้างสรรค์</t>
  </si>
  <si>
    <t xml:space="preserve">อุตส่าห์</t>
  </si>
  <si>
    <t xml:space="preserve">เฉยๆ</t>
  </si>
  <si>
    <t xml:space="preserve">จันทร์</t>
  </si>
  <si>
    <t xml:space="preserve">จุดประสงค์</t>
  </si>
  <si>
    <t xml:space="preserve">ฉาก</t>
  </si>
  <si>
    <t xml:space="preserve">ละก็</t>
  </si>
  <si>
    <t xml:space="preserve">เย็บ</t>
  </si>
  <si>
    <t xml:space="preserve">เต็มใจ</t>
  </si>
  <si>
    <t xml:space="preserve">สิทธิ์</t>
  </si>
  <si>
    <t xml:space="preserve">เล็บ</t>
  </si>
  <si>
    <t xml:space="preserve">อย่างไรก็ตาม</t>
  </si>
  <si>
    <t xml:space="preserve">จะเห็นได้ว่า</t>
  </si>
  <si>
    <t xml:space="preserve">เข็ม</t>
  </si>
  <si>
    <t xml:space="preserve">ฉะนี้</t>
  </si>
  <si>
    <t xml:space="preserve">เป็นอันขาด</t>
  </si>
  <si>
    <t xml:space="preserve">ก็แล้วกัน</t>
  </si>
  <si>
    <t xml:space="preserve">เห็นใจ</t>
  </si>
  <si>
    <t xml:space="preserve">เช็ด</t>
  </si>
  <si>
    <t xml:space="preserve">ฉลอง</t>
  </si>
  <si>
    <t xml:space="preserve">ฉวย</t>
  </si>
  <si>
    <t xml:space="preserve">เหน็ดเหนื่อย</t>
  </si>
  <si>
    <t xml:space="preserve">เฉย</t>
  </si>
  <si>
    <t xml:space="preserve">เต็มที</t>
  </si>
  <si>
    <t xml:space="preserve">แพทย์</t>
  </si>
  <si>
    <t xml:space="preserve">พระบาทสมเด็จ</t>
  </si>
  <si>
    <t xml:space="preserve">บริสุทธิ์</t>
  </si>
  <si>
    <t xml:space="preserve">พักตร์</t>
  </si>
  <si>
    <t xml:space="preserve">วินิจฉัย</t>
  </si>
  <si>
    <t xml:space="preserve">วัตถุประสงค์</t>
  </si>
  <si>
    <t xml:space="preserve">มหาดเล็ก</t>
  </si>
  <si>
    <t xml:space="preserve">เสาร์</t>
  </si>
  <si>
    <t xml:space="preserve">พระจันทร์</t>
  </si>
  <si>
    <t xml:space="preserve">ตอนเย็น</t>
  </si>
  <si>
    <t xml:space="preserve">เจ็บปวด</t>
  </si>
  <si>
    <t xml:space="preserve">พิเคราะห์</t>
  </si>
  <si>
    <t xml:space="preserve">เบ็ด</t>
  </si>
  <si>
    <t xml:space="preserve">บาดเจ็บ</t>
  </si>
  <si>
    <t xml:space="preserve">ทรัพย์สิน</t>
  </si>
  <si>
    <t xml:space="preserve">เข้มแข็ง</t>
  </si>
  <si>
    <t xml:space="preserve">การันต์</t>
  </si>
  <si>
    <t xml:space="preserve">เหม็น</t>
  </si>
  <si>
    <t xml:space="preserve">สงกรานต์</t>
  </si>
  <si>
    <t xml:space="preserve">ภาพยนตร์</t>
  </si>
  <si>
    <t xml:space="preserve">องค์ประกอบ</t>
  </si>
  <si>
    <t xml:space="preserve">เจ็บป่วย</t>
  </si>
  <si>
    <t xml:space="preserve">ทรัพย์สมบัติ</t>
  </si>
  <si>
    <t xml:space="preserve">สถานการณ์</t>
  </si>
  <si>
    <t xml:space="preserve">สวดมนต์</t>
  </si>
  <si>
    <t xml:space="preserve">กระเด็น</t>
  </si>
  <si>
    <t xml:space="preserve">เคราะห์ร้าย</t>
  </si>
  <si>
    <t xml:space="preserve">สิงห์</t>
  </si>
  <si>
    <t xml:space="preserve">ฉุด</t>
  </si>
  <si>
    <t xml:space="preserve">ฉาย</t>
  </si>
  <si>
    <t xml:space="preserve">ผลประโยชน์</t>
  </si>
  <si>
    <t xml:space="preserve">โบสถ์</t>
  </si>
  <si>
    <t xml:space="preserve">เฉลียวฉลาด</t>
  </si>
  <si>
    <t xml:space="preserve">รัตนโกสินทร์</t>
  </si>
  <si>
    <t xml:space="preserve">มนต์</t>
  </si>
  <si>
    <t xml:space="preserve">บท 20 · ด่าน 6 · แป้นใหม่: ซ ญ ศ ฮ</t>
  </si>
  <si>
    <t xml:space="preserve">ซึ่ง</t>
  </si>
  <si>
    <t xml:space="preserve">ใหญ่</t>
  </si>
  <si>
    <t xml:space="preserve">สำคัญ</t>
  </si>
  <si>
    <t xml:space="preserve">ซื้อ</t>
  </si>
  <si>
    <t xml:space="preserve">ประเทศ</t>
  </si>
  <si>
    <t xml:space="preserve">อาศัย</t>
  </si>
  <si>
    <t xml:space="preserve">หญิง</t>
  </si>
  <si>
    <t xml:space="preserve">ซี</t>
  </si>
  <si>
    <t xml:space="preserve">ปัญหา</t>
  </si>
  <si>
    <t xml:space="preserve">หญ้า</t>
  </si>
  <si>
    <t xml:space="preserve">ซิ</t>
  </si>
  <si>
    <t xml:space="preserve">พยัญชนะ</t>
  </si>
  <si>
    <t xml:space="preserve">เจริญ</t>
  </si>
  <si>
    <t xml:space="preserve">เชิญ</t>
  </si>
  <si>
    <t xml:space="preserve">อากาศ</t>
  </si>
  <si>
    <t xml:space="preserve">ซ้ำ</t>
  </si>
  <si>
    <t xml:space="preserve">ปัญญา</t>
  </si>
  <si>
    <t xml:space="preserve">ประกาศ</t>
  </si>
  <si>
    <t xml:space="preserve">ศรี</t>
  </si>
  <si>
    <t xml:space="preserve">ญาติ</t>
  </si>
  <si>
    <t xml:space="preserve">ศัพท์</t>
  </si>
  <si>
    <t xml:space="preserve">ศาสนา</t>
  </si>
  <si>
    <t xml:space="preserve">อนุญาต</t>
  </si>
  <si>
    <t xml:space="preserve">ทรรศนะ</t>
  </si>
  <si>
    <t xml:space="preserve">ทิศ</t>
  </si>
  <si>
    <t xml:space="preserve">บุญ</t>
  </si>
  <si>
    <t xml:space="preserve">สัญญา</t>
  </si>
  <si>
    <t xml:space="preserve">ซ้อน</t>
  </si>
  <si>
    <t xml:space="preserve">ต่างประเทศ</t>
  </si>
  <si>
    <t xml:space="preserve">ซ้าย</t>
  </si>
  <si>
    <t xml:space="preserve">ศิลปะ</t>
  </si>
  <si>
    <t xml:space="preserve">ศพ</t>
  </si>
  <si>
    <t xml:space="preserve">ซ่อน</t>
  </si>
  <si>
    <t xml:space="preserve">ส่วนใหญ่</t>
  </si>
  <si>
    <t xml:space="preserve">เศร้า</t>
  </si>
  <si>
    <t xml:space="preserve">มอญ</t>
  </si>
  <si>
    <t xml:space="preserve">ศาลา</t>
  </si>
  <si>
    <t xml:space="preserve">โทรศัพท์</t>
  </si>
  <si>
    <t xml:space="preserve">วงศ์</t>
  </si>
  <si>
    <t xml:space="preserve">สามัญ</t>
  </si>
  <si>
    <t xml:space="preserve">ศึก</t>
  </si>
  <si>
    <t xml:space="preserve">ซัก</t>
  </si>
  <si>
    <t xml:space="preserve">ทำบุญ</t>
  </si>
  <si>
    <t xml:space="preserve">สติปัญญา</t>
  </si>
  <si>
    <t xml:space="preserve">ศักดิ์</t>
  </si>
  <si>
    <t xml:space="preserve">ข้าศึก</t>
  </si>
  <si>
    <t xml:space="preserve">ยศ</t>
  </si>
  <si>
    <t xml:space="preserve">ชำนาญ</t>
  </si>
  <si>
    <t xml:space="preserve">ฝรั่งเศส</t>
  </si>
  <si>
    <t xml:space="preserve">รำคาญ</t>
  </si>
  <si>
    <t xml:space="preserve">เด็กหญิง</t>
  </si>
  <si>
    <t xml:space="preserve">สรรเสริญ</t>
  </si>
  <si>
    <t xml:space="preserve">พญา</t>
  </si>
  <si>
    <t xml:space="preserve">ราชาศัพท์</t>
  </si>
  <si>
    <t xml:space="preserve">อาจารย์ใหญ่</t>
  </si>
  <si>
    <t xml:space="preserve">พระพุทธศาสนา</t>
  </si>
  <si>
    <t xml:space="preserve">สำราญ</t>
  </si>
  <si>
    <t xml:space="preserve">กล้าหาญ</t>
  </si>
  <si>
    <t xml:space="preserve">กระซิบ</t>
  </si>
  <si>
    <t xml:space="preserve">นักปราชญ์</t>
  </si>
  <si>
    <t xml:space="preserve">ปราศจาก</t>
  </si>
  <si>
    <t xml:space="preserve">ใหญ่ๆ</t>
  </si>
  <si>
    <t xml:space="preserve">โทรทัศน์</t>
  </si>
  <si>
    <t xml:space="preserve">ไซร้</t>
  </si>
  <si>
    <t xml:space="preserve">ซับซ้อน</t>
  </si>
  <si>
    <t xml:space="preserve">วิทยาศาสตร์</t>
  </si>
  <si>
    <t xml:space="preserve">ใหญ่โต</t>
  </si>
  <si>
    <t xml:space="preserve">ขวัญ</t>
  </si>
  <si>
    <t xml:space="preserve">สัญญาณ</t>
  </si>
  <si>
    <t xml:space="preserve">บังเอิญ</t>
  </si>
  <si>
    <t xml:space="preserve">บุญคุณ</t>
  </si>
  <si>
    <t xml:space="preserve">ปกากะญอ</t>
  </si>
  <si>
    <t xml:space="preserve">ซื่อสัตย์</t>
  </si>
  <si>
    <t xml:space="preserve">เผอิญ</t>
  </si>
  <si>
    <t xml:space="preserve">ยิ่งใหญ่</t>
  </si>
  <si>
    <t xml:space="preserve">ปราศรัย</t>
  </si>
  <si>
    <t xml:space="preserve">ศรัทธา</t>
  </si>
  <si>
    <t xml:space="preserve">บำเพ็ญ</t>
  </si>
  <si>
    <t xml:space="preserve">เพศ</t>
  </si>
  <si>
    <t xml:space="preserve">เลิศ</t>
  </si>
  <si>
    <t xml:space="preserve">โศก</t>
  </si>
  <si>
    <t xml:space="preserve">ซักถาม</t>
  </si>
  <si>
    <t xml:space="preserve">ลึกซึ้ง</t>
  </si>
  <si>
    <t xml:space="preserve">ซอง</t>
  </si>
  <si>
    <t xml:space="preserve">บรรยากาศ</t>
  </si>
  <si>
    <t xml:space="preserve">พิศวง</t>
  </si>
  <si>
    <t xml:space="preserve">ศักดิ์สิทธิ์</t>
  </si>
  <si>
    <t xml:space="preserve">ซน</t>
  </si>
  <si>
    <t xml:space="preserve">พงศาวดาร</t>
  </si>
  <si>
    <t xml:space="preserve">อัธยาศัย</t>
  </si>
  <si>
    <t xml:space="preserve">กาลเทศะ</t>
  </si>
  <si>
    <t xml:space="preserve">บัญชี</t>
  </si>
  <si>
    <t xml:space="preserve">ประเทศชาติ</t>
  </si>
  <si>
    <t xml:space="preserve">นิราศ</t>
  </si>
  <si>
    <t xml:space="preserve">สำคัญๆ</t>
  </si>
  <si>
    <t xml:space="preserve">ศาล</t>
  </si>
  <si>
    <t xml:space="preserve">ศิลา</t>
  </si>
  <si>
    <t xml:space="preserve">ศร</t>
  </si>
  <si>
    <t xml:space="preserve">เกียรติยศ</t>
  </si>
  <si>
    <t xml:space="preserve">เทศน์</t>
  </si>
  <si>
    <t xml:space="preserve">เหรียญ</t>
  </si>
  <si>
    <t xml:space="preserve">กุศล</t>
  </si>
  <si>
    <t xml:space="preserve">ซุ่ม</t>
  </si>
  <si>
    <t xml:space="preserve">ปีศาจ</t>
  </si>
  <si>
    <t xml:space="preserve">ซอย</t>
  </si>
  <si>
    <t xml:space="preserve">อัศจรรย์</t>
  </si>
  <si>
    <t xml:space="preserve">ศาสตร์</t>
  </si>
  <si>
    <t xml:space="preserve">ฮะ</t>
  </si>
  <si>
    <t xml:space="preserve">ราศี</t>
  </si>
  <si>
    <t xml:space="preserve">ศีล</t>
  </si>
  <si>
    <t xml:space="preserve">เจ้าหญิง</t>
  </si>
  <si>
    <t xml:space="preserve">ซึม</t>
  </si>
  <si>
    <t xml:space="preserve">ญาณ</t>
  </si>
  <si>
    <t xml:space="preserve">ซุก</t>
  </si>
  <si>
    <t xml:space="preserve">ซ่อม</t>
  </si>
  <si>
    <t xml:space="preserve">คุณหญิง</t>
  </si>
  <si>
    <t xml:space="preserve">แซ่</t>
  </si>
  <si>
    <t xml:space="preserve">ญี่ปุ่น</t>
  </si>
  <si>
    <t xml:space="preserve">ศอก</t>
  </si>
  <si>
    <t xml:space="preserve">ควาญ</t>
  </si>
  <si>
    <t xml:space="preserve">กว้างใหญ่</t>
  </si>
  <si>
    <t xml:space="preserve">รัศมี</t>
  </si>
  <si>
    <t xml:space="preserve">ทิศทาง</t>
  </si>
  <si>
    <t xml:space="preserve">บัญชา</t>
  </si>
  <si>
    <t xml:space="preserve">พิศ</t>
  </si>
  <si>
    <t xml:space="preserve">แฮ</t>
  </si>
  <si>
    <t xml:space="preserve">กุญแจ</t>
  </si>
  <si>
    <t xml:space="preserve">ซื่อ</t>
  </si>
  <si>
    <t xml:space="preserve">คำขวัญ</t>
  </si>
  <si>
    <t xml:space="preserve">ซีก</t>
  </si>
  <si>
    <t xml:space="preserve">เศร้าโศก</t>
  </si>
  <si>
    <t xml:space="preserve">บัญญัติ</t>
  </si>
  <si>
    <t xml:space="preserve">ซาก</t>
  </si>
  <si>
    <t xml:space="preserve">ซอก</t>
  </si>
  <si>
    <t xml:space="preserve">ซุกซน</t>
  </si>
  <si>
    <t xml:space="preserve">ของขวัญ</t>
  </si>
  <si>
    <t xml:space="preserve">ซ้อม</t>
  </si>
  <si>
    <t xml:space="preserve">ศุกร์</t>
  </si>
  <si>
    <t xml:space="preserve">หาญ</t>
  </si>
  <si>
    <t xml:space="preserve">บรรดาศักดิ์</t>
  </si>
  <si>
    <t xml:space="preserve">นิเวศน์</t>
  </si>
  <si>
    <t xml:space="preserve">จำเริญ</t>
  </si>
  <si>
    <t xml:space="preserve">ซุ้ม</t>
  </si>
  <si>
    <t xml:space="preserve">ซบ</t>
  </si>
  <si>
    <t xml:space="preserve">ชาญ</t>
  </si>
  <si>
    <t xml:space="preserve">ซาบซึ้ง</t>
  </si>
  <si>
    <t xml:space="preserve">ฮือ</t>
  </si>
  <si>
    <t xml:space="preserve">อาญา</t>
  </si>
  <si>
    <t xml:space="preserve">ซัด</t>
  </si>
  <si>
    <t xml:space="preserve">เศียร</t>
  </si>
  <si>
    <t xml:space="preserve">บท 22 · ด่าน 7 · แป้นใหม่: ู ษ ฒ ฆ</t>
  </si>
  <si>
    <t xml:space="preserve">อยู่</t>
  </si>
  <si>
    <t xml:space="preserve">ผู้</t>
  </si>
  <si>
    <t xml:space="preserve">พูด</t>
  </si>
  <si>
    <t xml:space="preserve">ลูก</t>
  </si>
  <si>
    <t xml:space="preserve">ดู</t>
  </si>
  <si>
    <t xml:space="preserve">รู้</t>
  </si>
  <si>
    <t xml:space="preserve">ภาษา</t>
  </si>
  <si>
    <t xml:space="preserve">ถูก</t>
  </si>
  <si>
    <t xml:space="preserve">รู้สึก</t>
  </si>
  <si>
    <t xml:space="preserve">มนุษย์</t>
  </si>
  <si>
    <t xml:space="preserve">รู้จัก</t>
  </si>
  <si>
    <t xml:space="preserve">ครู</t>
  </si>
  <si>
    <t xml:space="preserve">หนู</t>
  </si>
  <si>
    <t xml:space="preserve">สูง</t>
  </si>
  <si>
    <t xml:space="preserve">รูป</t>
  </si>
  <si>
    <t xml:space="preserve">ศึกษา</t>
  </si>
  <si>
    <t xml:space="preserve">ลักษณะ</t>
  </si>
  <si>
    <t xml:space="preserve">รักษา</t>
  </si>
  <si>
    <t xml:space="preserve">ผู้ใหญ่</t>
  </si>
  <si>
    <t xml:space="preserve">ปลูก</t>
  </si>
  <si>
    <t xml:space="preserve">ประตู</t>
  </si>
  <si>
    <t xml:space="preserve">สู่</t>
  </si>
  <si>
    <t xml:space="preserve">สู้</t>
  </si>
  <si>
    <t xml:space="preserve">ผู้หญิง</t>
  </si>
  <si>
    <t xml:space="preserve">ถูกต้อง</t>
  </si>
  <si>
    <t xml:space="preserve">หมู่บ้าน</t>
  </si>
  <si>
    <t xml:space="preserve">งู</t>
  </si>
  <si>
    <t xml:space="preserve">ฝูง</t>
  </si>
  <si>
    <t xml:space="preserve">คู่</t>
  </si>
  <si>
    <t xml:space="preserve">ผู้ฟัง</t>
  </si>
  <si>
    <t xml:space="preserve">หมู่</t>
  </si>
  <si>
    <t xml:space="preserve">ผูก</t>
  </si>
  <si>
    <t xml:space="preserve">ทูล</t>
  </si>
  <si>
    <t xml:space="preserve">หู</t>
  </si>
  <si>
    <t xml:space="preserve">โทษ</t>
  </si>
  <si>
    <t xml:space="preserve">พิเศษ</t>
  </si>
  <si>
    <t xml:space="preserve">ผู้เขียน</t>
  </si>
  <si>
    <t xml:space="preserve">คำพูด</t>
  </si>
  <si>
    <t xml:space="preserve">พัฒนา</t>
  </si>
  <si>
    <t xml:space="preserve">ศีรษะ</t>
  </si>
  <si>
    <t xml:space="preserve">ดูแล</t>
  </si>
  <si>
    <t xml:space="preserve">ต่อสู้</t>
  </si>
  <si>
    <t xml:space="preserve">กระดาษ</t>
  </si>
  <si>
    <t xml:space="preserve">หมู</t>
  </si>
  <si>
    <t xml:space="preserve">คุณครู</t>
  </si>
  <si>
    <t xml:space="preserve">คุณปู่</t>
  </si>
  <si>
    <t xml:space="preserve">กษัตริย์</t>
  </si>
  <si>
    <t xml:space="preserve">อักษร</t>
  </si>
  <si>
    <t xml:space="preserve">ผู้นั้น</t>
  </si>
  <si>
    <t xml:space="preserve">ผู้ชาย</t>
  </si>
  <si>
    <t xml:space="preserve">รูปร่าง</t>
  </si>
  <si>
    <t xml:space="preserve">ปู่</t>
  </si>
  <si>
    <t xml:space="preserve">ยักษ์</t>
  </si>
  <si>
    <t xml:space="preserve">วัฒนธรรม</t>
  </si>
  <si>
    <t xml:space="preserve">ข้อมูล</t>
  </si>
  <si>
    <t xml:space="preserve">ผู้คน</t>
  </si>
  <si>
    <t xml:space="preserve">บูชา</t>
  </si>
  <si>
    <t xml:space="preserve">ครู่</t>
  </si>
  <si>
    <t xml:space="preserve">ลูกชาย</t>
  </si>
  <si>
    <t xml:space="preserve">วิเศษ</t>
  </si>
  <si>
    <t xml:space="preserve">ศัตรู</t>
  </si>
  <si>
    <t xml:space="preserve">กราบทูล</t>
  </si>
  <si>
    <t xml:space="preserve">ครู่หนึ่ง</t>
  </si>
  <si>
    <t xml:space="preserve">ดูเหมือน</t>
  </si>
  <si>
    <t xml:space="preserve">ลูกสาว</t>
  </si>
  <si>
    <t xml:space="preserve">พูดจา</t>
  </si>
  <si>
    <t xml:space="preserve">ปู</t>
  </si>
  <si>
    <t xml:space="preserve">เศษ</t>
  </si>
  <si>
    <t xml:space="preserve">ศิษย์</t>
  </si>
  <si>
    <t xml:space="preserve">เรียนรู้</t>
  </si>
  <si>
    <t xml:space="preserve">ภูเขา</t>
  </si>
  <si>
    <t xml:space="preserve">จมูก</t>
  </si>
  <si>
    <t xml:space="preserve">ธนู</t>
  </si>
  <si>
    <t xml:space="preserve">ดูก่อน</t>
  </si>
  <si>
    <t xml:space="preserve">สมบูรณ์</t>
  </si>
  <si>
    <t xml:space="preserve">ปรึกษา</t>
  </si>
  <si>
    <t xml:space="preserve">พิษ</t>
  </si>
  <si>
    <t xml:space="preserve">รูปแบบ</t>
  </si>
  <si>
    <t xml:space="preserve">บุรุษ</t>
  </si>
  <si>
    <t xml:space="preserve">วิเศษณ์</t>
  </si>
  <si>
    <t xml:space="preserve">ลูกๆ</t>
  </si>
  <si>
    <t xml:space="preserve">ตระกูล</t>
  </si>
  <si>
    <t xml:space="preserve">พูดถึง</t>
  </si>
  <si>
    <t xml:space="preserve">ตัวผู้</t>
  </si>
  <si>
    <t xml:space="preserve">ที่อยู่</t>
  </si>
  <si>
    <t xml:space="preserve">รู</t>
  </si>
  <si>
    <t xml:space="preserve">เกษตร</t>
  </si>
  <si>
    <t xml:space="preserve">สุภาษิต</t>
  </si>
  <si>
    <t xml:space="preserve">พลู</t>
  </si>
  <si>
    <t xml:space="preserve">ชู</t>
  </si>
  <si>
    <t xml:space="preserve">ผู้แต่ง</t>
  </si>
  <si>
    <t xml:space="preserve">เฒ่า</t>
  </si>
  <si>
    <t xml:space="preserve">บริษัท</t>
  </si>
  <si>
    <t xml:space="preserve">พระสงฆ์</t>
  </si>
  <si>
    <t xml:space="preserve">โฆษณา</t>
  </si>
  <si>
    <t xml:space="preserve">ลงโทษ</t>
  </si>
  <si>
    <t xml:space="preserve">ขอโทษ</t>
  </si>
  <si>
    <t xml:space="preserve">ภูมิใจ</t>
  </si>
  <si>
    <t xml:space="preserve">สู</t>
  </si>
  <si>
    <t xml:space="preserve">เมฆ</t>
  </si>
  <si>
    <t xml:space="preserve">เอ็นดู</t>
  </si>
  <si>
    <t xml:space="preserve">ลูกหลาน</t>
  </si>
  <si>
    <t xml:space="preserve">ทั้งคู่</t>
  </si>
  <si>
    <t xml:space="preserve">ผู้ปกครอง</t>
  </si>
  <si>
    <t xml:space="preserve">ทักษะ</t>
  </si>
  <si>
    <t xml:space="preserve">รู้ตัว</t>
  </si>
  <si>
    <t xml:space="preserve">เข้าสู่</t>
  </si>
  <si>
    <t xml:space="preserve">เลี้ยงดู</t>
  </si>
  <si>
    <t xml:space="preserve">ชมพู</t>
  </si>
  <si>
    <t xml:space="preserve">กระดูก</t>
  </si>
  <si>
    <t xml:space="preserve">ตัวอักษร</t>
  </si>
  <si>
    <t xml:space="preserve">ตู้</t>
  </si>
  <si>
    <t xml:space="preserve">ประจักษ์</t>
  </si>
  <si>
    <t xml:space="preserve">ประถมศึกษา</t>
  </si>
  <si>
    <t xml:space="preserve">ลูกค้า</t>
  </si>
  <si>
    <t xml:space="preserve">ดูซิ</t>
  </si>
  <si>
    <t xml:space="preserve">สูบ</t>
  </si>
  <si>
    <t xml:space="preserve">ผู้นำ</t>
  </si>
  <si>
    <t xml:space="preserve">พระภิกษุ</t>
  </si>
  <si>
    <t xml:space="preserve">จูง</t>
  </si>
  <si>
    <t xml:space="preserve">ขู่</t>
  </si>
  <si>
    <t xml:space="preserve">กตัญญู</t>
  </si>
  <si>
    <t xml:space="preserve">รับรู้</t>
  </si>
  <si>
    <t xml:space="preserve">ผู้ดี</t>
  </si>
  <si>
    <t xml:space="preserve">บริบูรณ์</t>
  </si>
  <si>
    <t xml:space="preserve">คู</t>
  </si>
  <si>
    <t xml:space="preserve">อุดมสมบูรณ์</t>
  </si>
  <si>
    <t xml:space="preserve">ถู</t>
  </si>
  <si>
    <t xml:space="preserve">ผู้น้อย</t>
  </si>
  <si>
    <t xml:space="preserve">อนุรักษ์</t>
  </si>
  <si>
    <t xml:space="preserve">ลูบ</t>
  </si>
  <si>
    <t xml:space="preserve">ดูด</t>
  </si>
  <si>
    <t xml:space="preserve">พูดคุย</t>
  </si>
  <si>
    <t xml:space="preserve">ขึ้นอยู่กับ</t>
  </si>
  <si>
    <t xml:space="preserve">ลูกไก่</t>
  </si>
  <si>
    <t xml:space="preserve">ทูต</t>
  </si>
  <si>
    <t xml:space="preserve">เพื่อนฝูง</t>
  </si>
  <si>
    <t xml:space="preserve">ผู้ใช้</t>
  </si>
  <si>
    <t xml:space="preserve">สูญ</t>
  </si>
  <si>
    <t xml:space="preserve">บรรพบุรุษ</t>
  </si>
  <si>
    <t xml:space="preserve">ลูกเสือ</t>
  </si>
  <si>
    <t xml:space="preserve">ระฆัง</t>
  </si>
  <si>
    <t xml:space="preserve">ลูกไม้</t>
  </si>
  <si>
    <t xml:space="preserve">สัญลักษณ์</t>
  </si>
  <si>
    <t xml:space="preserve">ลูกจ้าง</t>
  </si>
  <si>
    <t xml:space="preserve">พระพุทธรูป</t>
  </si>
  <si>
    <t xml:space="preserve">ภูมิ</t>
  </si>
  <si>
    <t xml:space="preserve">ดูหมิ่น</t>
  </si>
  <si>
    <t xml:space="preserve">เฆี่ยน</t>
  </si>
  <si>
    <t xml:space="preserve">กู้</t>
  </si>
  <si>
    <t xml:space="preserve">บท 23 · ด่าน 7 · แป้นใหม่: ๊ ๋ ฏ ฐ</t>
  </si>
  <si>
    <t xml:space="preserve">ปรากฏ</t>
  </si>
  <si>
    <t xml:space="preserve">ปฏิบัติ</t>
  </si>
  <si>
    <t xml:space="preserve">จ๊ะ</t>
  </si>
  <si>
    <t xml:space="preserve">โต๊ะ</t>
  </si>
  <si>
    <t xml:space="preserve">เอ๋ย</t>
  </si>
  <si>
    <t xml:space="preserve">ฐานะ</t>
  </si>
  <si>
    <t xml:space="preserve">เดี๋ยวนี้</t>
  </si>
  <si>
    <t xml:space="preserve">เดี๋ยว</t>
  </si>
  <si>
    <t xml:space="preserve">กระเป๋า</t>
  </si>
  <si>
    <t xml:space="preserve">จ๋า</t>
  </si>
  <si>
    <t xml:space="preserve">เศรษฐี</t>
  </si>
  <si>
    <t xml:space="preserve">ตุ๊กตา</t>
  </si>
  <si>
    <t xml:space="preserve">รัฐบาล</t>
  </si>
  <si>
    <t xml:space="preserve">ฐาน</t>
  </si>
  <si>
    <t xml:space="preserve">หลักฐาน</t>
  </si>
  <si>
    <t xml:space="preserve">ปฏิเสธ</t>
  </si>
  <si>
    <t xml:space="preserve">กระป๋อง</t>
  </si>
  <si>
    <t xml:space="preserve">เอ๊ะ</t>
  </si>
  <si>
    <t xml:space="preserve">ประเสริฐ</t>
  </si>
  <si>
    <t xml:space="preserve">ประดิษฐ์</t>
  </si>
  <si>
    <t xml:space="preserve">ปุ๋ย</t>
  </si>
  <si>
    <t xml:space="preserve">อิฐ</t>
  </si>
  <si>
    <t xml:space="preserve">จิ๋ว</t>
  </si>
  <si>
    <t xml:space="preserve">พื้นฐาน</t>
  </si>
  <si>
    <t xml:space="preserve">อ๋อ</t>
  </si>
  <si>
    <t xml:space="preserve">มาตรฐาน</t>
  </si>
  <si>
    <t xml:space="preserve">ปฐม</t>
  </si>
  <si>
    <t xml:space="preserve">โอ๊ย</t>
  </si>
  <si>
    <t xml:space="preserve">ปี๊บ</t>
  </si>
  <si>
    <t xml:space="preserve">อุ๊ย</t>
  </si>
  <si>
    <t xml:space="preserve">ก๋วยเตี๋ยว</t>
  </si>
  <si>
    <t xml:space="preserve">กุ๊ก</t>
  </si>
  <si>
    <t xml:space="preserve">ตั๋ว</t>
  </si>
  <si>
    <t xml:space="preserve">ตั๊กแตน</t>
  </si>
  <si>
    <t xml:space="preserve">ปฐมวัย</t>
  </si>
  <si>
    <t xml:space="preserve">อูฐ</t>
  </si>
  <si>
    <t xml:space="preserve">เดี๋ยวก่อน</t>
  </si>
  <si>
    <t xml:space="preserve">แจ๋ว</t>
  </si>
  <si>
    <t xml:space="preserve">ก๊าซ</t>
  </si>
  <si>
    <t xml:space="preserve">เก๋</t>
  </si>
  <si>
    <t xml:space="preserve">ตุ๊กแก</t>
  </si>
  <si>
    <t xml:space="preserve">ก๊อก</t>
  </si>
  <si>
    <t xml:space="preserve">นครปฐม</t>
  </si>
  <si>
    <t xml:space="preserve">ลูกเต๋า</t>
  </si>
  <si>
    <t xml:space="preserve">ปฏิทิน</t>
  </si>
  <si>
    <t xml:space="preserve">นาฏศิลป์</t>
  </si>
  <si>
    <t xml:space="preserve">ก๋ง</t>
  </si>
  <si>
    <t xml:space="preserve">ประเดี๋ยว</t>
  </si>
  <si>
    <t xml:space="preserve">ก๊ก</t>
  </si>
  <si>
    <t xml:space="preserve">สันนิษฐาน</t>
  </si>
  <si>
    <t xml:space="preserve">รัฐ</t>
  </si>
  <si>
    <t xml:space="preserve">เศรษฐกิจ</t>
  </si>
  <si>
    <t xml:space="preserve">ประดิษฐาน</t>
  </si>
  <si>
    <t xml:space="preserve">อธิษฐาน</t>
  </si>
  <si>
    <t xml:space="preserve">ปฏิบัติงาน</t>
  </si>
  <si>
    <t xml:space="preserve">ถิ่นฐาน</t>
  </si>
  <si>
    <t xml:space="preserve">เชษฐา</t>
  </si>
  <si>
    <t xml:space="preserve">เจี๊ยบ</t>
  </si>
  <si>
    <t xml:space="preserve">ปรากฏการณ์</t>
  </si>
  <si>
    <t xml:space="preserve">ปฏิสังขรณ์</t>
  </si>
  <si>
    <t xml:space="preserve">เอ๊ย</t>
  </si>
  <si>
    <t xml:space="preserve">ปฏิกิริยา</t>
  </si>
  <si>
    <t xml:space="preserve">กบฏ</t>
  </si>
  <si>
    <t xml:space="preserve">ทิฐิ</t>
  </si>
  <si>
    <t xml:space="preserve">บ๊อกเซ่อร์</t>
  </si>
  <si>
    <t xml:space="preserve">กุฏิ</t>
  </si>
  <si>
    <t xml:space="preserve">แป๊ะ</t>
  </si>
  <si>
    <t xml:space="preserve">สหรัฐอเมริกา</t>
  </si>
  <si>
    <t xml:space="preserve">อ๊ะ</t>
  </si>
  <si>
    <t xml:space="preserve">โอษฐ์</t>
  </si>
  <si>
    <t xml:space="preserve">อ๊อด</t>
  </si>
  <si>
    <t xml:space="preserve">ปาฐกถา</t>
  </si>
  <si>
    <t xml:space="preserve">สัณฐาน</t>
  </si>
  <si>
    <t xml:space="preserve">ปาฏิหาริย์</t>
  </si>
  <si>
    <t xml:space="preserve">ปฏิญาณ</t>
  </si>
  <si>
    <t xml:space="preserve">จี๋</t>
  </si>
  <si>
    <t xml:space="preserve">เก๋ง</t>
  </si>
  <si>
    <t xml:space="preserve">ปฏิบัติการ</t>
  </si>
  <si>
    <t xml:space="preserve">นายกรัฐมนตรี</t>
  </si>
  <si>
    <t xml:space="preserve">ปฏิภาณ</t>
  </si>
  <si>
    <t xml:space="preserve">ก๊อ</t>
  </si>
  <si>
    <t xml:space="preserve">ขั้นพื้นฐาน</t>
  </si>
  <si>
    <t xml:space="preserve">สมมติฐาน</t>
  </si>
  <si>
    <t xml:space="preserve">ปฏิมา</t>
  </si>
  <si>
    <t xml:space="preserve">แจ๊ส</t>
  </si>
  <si>
    <t xml:space="preserve">กฐิน</t>
  </si>
  <si>
    <t xml:space="preserve">โอ๊ก</t>
  </si>
  <si>
    <t xml:space="preserve">บัดเดี๋ยว</t>
  </si>
  <si>
    <t xml:space="preserve">ปี๋</t>
  </si>
  <si>
    <t xml:space="preserve">อัฐิ</t>
  </si>
  <si>
    <t xml:space="preserve">จุ๊บแจง</t>
  </si>
  <si>
    <t xml:space="preserve">รัฐมนตรี</t>
  </si>
  <si>
    <t xml:space="preserve">ล้วงกระเป๋า</t>
  </si>
  <si>
    <t xml:space="preserve">ไป๊</t>
  </si>
  <si>
    <t xml:space="preserve">เดี๋ยวเดียว</t>
  </si>
  <si>
    <t xml:space="preserve">ปฏิวัติ</t>
  </si>
  <si>
    <t xml:space="preserve">เศรษฐศาสตร์</t>
  </si>
  <si>
    <t xml:space="preserve">แก๊ส</t>
  </si>
  <si>
    <t xml:space="preserve">ทอดกฐิน</t>
  </si>
  <si>
    <t xml:space="preserve">หนังสติ๊ก</t>
  </si>
  <si>
    <t xml:space="preserve">กริ๋ง</t>
  </si>
  <si>
    <t xml:space="preserve">โต๊ะทำงาน</t>
  </si>
  <si>
    <t xml:space="preserve">รากฐาน</t>
  </si>
  <si>
    <t xml:space="preserve">ปฏิบัติธรรม</t>
  </si>
  <si>
    <t xml:space="preserve">ปฏิสนธิ</t>
  </si>
  <si>
    <t xml:space="preserve">อ๊อก</t>
  </si>
  <si>
    <t xml:space="preserve">น้ำมันก๊าด</t>
  </si>
  <si>
    <t xml:space="preserve">เป๋</t>
  </si>
  <si>
    <t xml:space="preserve">ปฏิสันถาร</t>
  </si>
  <si>
    <t xml:space="preserve">ปุ๋ยคอก</t>
  </si>
  <si>
    <t xml:space="preserve">กรี๊ด</t>
  </si>
  <si>
    <t xml:space="preserve">จิ๊บ</t>
  </si>
  <si>
    <t xml:space="preserve">โจ๊ก</t>
  </si>
  <si>
    <t xml:space="preserve">ตื๋อ</t>
  </si>
  <si>
    <t xml:space="preserve">แบแร๊ก</t>
  </si>
  <si>
    <t xml:space="preserve">จิ๊ด</t>
  </si>
  <si>
    <t xml:space="preserve">บ๊อบ</t>
  </si>
  <si>
    <t xml:space="preserve">ต๋ง</t>
  </si>
  <si>
    <t xml:space="preserve">จ๊า</t>
  </si>
  <si>
    <t xml:space="preserve">อ๊บ</t>
  </si>
  <si>
    <t xml:space="preserve">กรี๊ดๆ</t>
  </si>
  <si>
    <t xml:space="preserve">ตี๋</t>
  </si>
  <si>
    <t xml:space="preserve">กิ๊ก</t>
  </si>
  <si>
    <t xml:space="preserve">ปฏิปักษ์</t>
  </si>
  <si>
    <t xml:space="preserve">ปุ๋ยเคมี</t>
  </si>
  <si>
    <t xml:space="preserve">นาฏ</t>
  </si>
  <si>
    <t xml:space="preserve">เจี๊ยวจ๊าว</t>
  </si>
  <si>
    <t xml:space="preserve">ป๊ะ</t>
  </si>
  <si>
    <t xml:space="preserve">จิ๊กๆ</t>
  </si>
  <si>
    <t xml:space="preserve">รัฐธรรมนูญ</t>
  </si>
  <si>
    <t xml:space="preserve">ปุ๊ก</t>
  </si>
  <si>
    <t xml:space="preserve">กระเป๋าถือ</t>
  </si>
  <si>
    <t xml:space="preserve">จุ๊</t>
  </si>
  <si>
    <t xml:space="preserve">เป๋ง</t>
  </si>
  <si>
    <t xml:space="preserve">อี๊</t>
  </si>
  <si>
    <t xml:space="preserve">อัฐ</t>
  </si>
  <si>
    <t xml:space="preserve">ปฏิปทา</t>
  </si>
  <si>
    <t xml:space="preserve">ติ๋งๆ</t>
  </si>
  <si>
    <t xml:space="preserve">รัฐสภา</t>
  </si>
  <si>
    <t xml:space="preserve">รัฐศาสตร์</t>
  </si>
  <si>
    <t xml:space="preserve">โป๊ะ</t>
  </si>
  <si>
    <t xml:space="preserve">ภูมิฐาน</t>
  </si>
  <si>
    <t xml:space="preserve">กุฏฐัง</t>
  </si>
  <si>
    <t xml:space="preserve">ฐานานุกรม</t>
  </si>
  <si>
    <t xml:space="preserve">จู๋</t>
  </si>
  <si>
    <t xml:space="preserve">แต้จิ๋ว</t>
  </si>
  <si>
    <t xml:space="preserve">ขนิษฐา</t>
  </si>
  <si>
    <t xml:space="preserve">ปร๋อ</t>
  </si>
  <si>
    <t xml:space="preserve">ไพ่ป๊อก</t>
  </si>
  <si>
    <t xml:space="preserve">ก๊าด</t>
  </si>
  <si>
    <t xml:space="preserve">บท 24 · ด่าน 7 · แป้นใหม่: ฎ ฑ ฌ ฬ ฤ ฯ</t>
  </si>
  <si>
    <t xml:space="preserve">ปลาวาฬ</t>
  </si>
  <si>
    <t xml:space="preserve">อังกฤษ</t>
  </si>
  <si>
    <t xml:space="preserve">ฤดู</t>
  </si>
  <si>
    <t xml:space="preserve">ประพฤติ</t>
  </si>
  <si>
    <t xml:space="preserve">กฎหมาย</t>
  </si>
  <si>
    <t xml:space="preserve">บัณฑิต</t>
  </si>
  <si>
    <t xml:space="preserve">กรุงเทพฯ</t>
  </si>
  <si>
    <t xml:space="preserve">กฎ</t>
  </si>
  <si>
    <t xml:space="preserve">ราษฎร</t>
  </si>
  <si>
    <t xml:space="preserve">ฤทธิ์</t>
  </si>
  <si>
    <t xml:space="preserve">นาฬิกา</t>
  </si>
  <si>
    <t xml:space="preserve">เกณฑ์</t>
  </si>
  <si>
    <t xml:space="preserve">กีฬา</t>
  </si>
  <si>
    <t xml:space="preserve">พฤติกรรม</t>
  </si>
  <si>
    <t xml:space="preserve">กฎเกณฑ์</t>
  </si>
  <si>
    <t xml:space="preserve">มณฑล</t>
  </si>
  <si>
    <t xml:space="preserve">นักกีฬา</t>
  </si>
  <si>
    <t xml:space="preserve">จุฬา</t>
  </si>
  <si>
    <t xml:space="preserve">ฤกษ์</t>
  </si>
  <si>
    <t xml:space="preserve">ครุฑ</t>
  </si>
  <si>
    <t xml:space="preserve">ทฤษฎี</t>
  </si>
  <si>
    <t xml:space="preserve">ผลิตภัณฑ์</t>
  </si>
  <si>
    <t xml:space="preserve">พฤศจิกายน</t>
  </si>
  <si>
    <t xml:space="preserve">กรกฎาคม</t>
  </si>
  <si>
    <t xml:space="preserve">ฤดูกาล</t>
  </si>
  <si>
    <t xml:space="preserve">พฤษภาคม</t>
  </si>
  <si>
    <t xml:space="preserve">มงกุฎ</t>
  </si>
  <si>
    <t xml:space="preserve">มโหฬาร</t>
  </si>
  <si>
    <t xml:space="preserve">พฤหัสบดี</t>
  </si>
  <si>
    <t xml:space="preserve">พิพิธภัณฑ์</t>
  </si>
  <si>
    <t xml:space="preserve">ชฎา</t>
  </si>
  <si>
    <t xml:space="preserve">ฤษี</t>
  </si>
  <si>
    <t xml:space="preserve">กรีฑา</t>
  </si>
  <si>
    <t xml:space="preserve">สุราษฎร์ธานี</t>
  </si>
  <si>
    <t xml:space="preserve">อิทธิฤทธิ์</t>
  </si>
  <si>
    <t xml:space="preserve">กฎจราจร</t>
  </si>
  <si>
    <t xml:space="preserve">ดาวฤกษ์</t>
  </si>
  <si>
    <t xml:space="preserve">วิกฤติ</t>
  </si>
  <si>
    <t xml:space="preserve">สันสกฤต</t>
  </si>
  <si>
    <t xml:space="preserve">สัมฤทธิ์</t>
  </si>
  <si>
    <t xml:space="preserve">ราชคฤห์</t>
  </si>
  <si>
    <t xml:space="preserve">หลักเกณฑ์</t>
  </si>
  <si>
    <t xml:space="preserve">ฎีกา</t>
  </si>
  <si>
    <t xml:space="preserve">คฤหัสถ์</t>
  </si>
  <si>
    <t xml:space="preserve">พระราชหฤทัย</t>
  </si>
  <si>
    <t xml:space="preserve">หฤทัย</t>
  </si>
  <si>
    <t xml:space="preserve">ราชบัณฑิต</t>
  </si>
  <si>
    <t xml:space="preserve">อัชฌาสัย</t>
  </si>
  <si>
    <t xml:space="preserve">กัณฑ์</t>
  </si>
  <si>
    <t xml:space="preserve">ราษฎร์</t>
  </si>
  <si>
    <t xml:space="preserve">พฤฒา</t>
  </si>
  <si>
    <t xml:space="preserve">เกาทัณฑ์</t>
  </si>
  <si>
    <t xml:space="preserve">ฤทัย</t>
  </si>
  <si>
    <t xml:space="preserve">พฤกษา</t>
  </si>
  <si>
    <t xml:space="preserve">กาฬ</t>
  </si>
  <si>
    <t xml:space="preserve">กฤษณา</t>
  </si>
  <si>
    <t xml:space="preserve">บิณฑบาต</t>
  </si>
  <si>
    <t xml:space="preserve">พฤติการณ์</t>
  </si>
  <si>
    <t xml:space="preserve">ประชาราษฎร์</t>
  </si>
  <si>
    <t xml:space="preserve">มณฑป</t>
  </si>
  <si>
    <t xml:space="preserve">อุปัชฌาย์</t>
  </si>
  <si>
    <t xml:space="preserve">ทัณฑฆาต</t>
  </si>
  <si>
    <t xml:space="preserve">กุฎี</t>
  </si>
  <si>
    <t xml:space="preserve">ฤทธา</t>
  </si>
  <si>
    <t xml:space="preserve">คฤหบดี</t>
  </si>
  <si>
    <t xml:space="preserve">ทัณฑ์</t>
  </si>
  <si>
    <t xml:space="preserve">พฤกษชาติ</t>
  </si>
  <si>
    <t xml:space="preserve">ทมิฬ</t>
  </si>
  <si>
    <t xml:space="preserve">ฌาปนกิจ</t>
  </si>
  <si>
    <t xml:space="preserve">มณฑา</t>
  </si>
  <si>
    <t xml:space="preserve">พระไตรปิฎก</t>
  </si>
  <si>
    <t xml:space="preserve">พฤกษ์</t>
  </si>
  <si>
    <t xml:space="preserve">เพชฌฆาต</t>
  </si>
  <si>
    <t xml:space="preserve">โสฬส</t>
  </si>
  <si>
    <t xml:space="preserve">นักกฎหมาย</t>
  </si>
  <si>
    <t xml:space="preserve">ฤดี</t>
  </si>
  <si>
    <t xml:space="preserve">อมฤต</t>
  </si>
  <si>
    <t xml:space="preserve">จุฬามณี</t>
  </si>
  <si>
    <t xml:space="preserve">ศฤงคาร</t>
  </si>
  <si>
    <t xml:space="preserve">นฤคหิต</t>
  </si>
  <si>
    <t xml:space="preserve">ขัณฑสีมา</t>
  </si>
  <si>
    <t xml:space="preserve">ไม้ทัณฑฆาต</t>
  </si>
  <si>
    <t xml:space="preserve">กะเกณฑ์</t>
  </si>
  <si>
    <t xml:space="preserve">สิ้นฤทธิ์</t>
  </si>
  <si>
    <t xml:space="preserve">มกุฎราชกุมาร</t>
  </si>
  <si>
    <t xml:space="preserve">พฤษภ</t>
  </si>
  <si>
    <t xml:space="preserve">นฤมล</t>
  </si>
  <si>
    <t xml:space="preserve">นักขัตฤกษ์</t>
  </si>
  <si>
    <t xml:space="preserve">อาสาฬหบูชา</t>
  </si>
  <si>
    <t xml:space="preserve">กุมภัณฑ์</t>
  </si>
  <si>
    <t xml:space="preserve">สุราษฎร์</t>
  </si>
  <si>
    <t xml:space="preserve">ฌาน</t>
  </si>
  <si>
    <t xml:space="preserve">วิกฤตการณ์</t>
  </si>
  <si>
    <t xml:space="preserve">ภัณฑ์</t>
  </si>
  <si>
    <t xml:space="preserve">น้ำจัณฑ์</t>
  </si>
  <si>
    <t xml:space="preserve">ทำฤทธิ์</t>
  </si>
  <si>
    <t xml:space="preserve">มฤคทายวัน</t>
  </si>
  <si>
    <t xml:space="preserve">กาฬโรค</t>
  </si>
  <si>
    <t xml:space="preserve">มัชฌิมยาม</t>
  </si>
  <si>
    <t xml:space="preserve">ปฤจฉา</t>
  </si>
  <si>
    <t xml:space="preserve">พฤหัส</t>
  </si>
  <si>
    <t xml:space="preserve">กาฬปักษ์</t>
  </si>
  <si>
    <t xml:space="preserve">พรหมทัณฑ์</t>
  </si>
  <si>
    <t xml:space="preserve">พระเชตุพนฯ</t>
  </si>
  <si>
    <t xml:space="preserve">คฤหาสน์</t>
  </si>
  <si>
    <t xml:space="preserve">ราชทัณฑ์</t>
  </si>
  <si>
    <t xml:space="preserve">ได้ฤกษ์</t>
  </si>
  <si>
    <t xml:space="preserve">ดุษฎีบัณฑิต</t>
  </si>
  <si>
    <t xml:space="preserve">ตฤณ</t>
  </si>
  <si>
    <t xml:space="preserve">ปฤษฎางค์</t>
  </si>
  <si>
    <t xml:space="preserve">มัชฌิมวัย</t>
  </si>
  <si>
    <t xml:space="preserve">ทัณฑกรรม</t>
  </si>
  <si>
    <t xml:space="preserve">สัมฤทธิศก</t>
  </si>
  <si>
    <t xml:space="preserve">วิฬาร์</t>
  </si>
  <si>
    <t xml:space="preserve">สมปฤดี</t>
  </si>
  <si>
    <t xml:space="preserve">ออกฤทธิ์</t>
  </si>
  <si>
    <t xml:space="preserve">อัชฌา</t>
  </si>
  <si>
    <t xml:space="preserve">โอฬาร</t>
  </si>
  <si>
    <t xml:space="preserve">มหาบัณฑิต</t>
  </si>
  <si>
    <t xml:space="preserve">ดุษฎี</t>
  </si>
  <si>
    <t xml:space="preserve">กกุธภัณฑ์</t>
  </si>
  <si>
    <t xml:space="preserve">ไพรสัณฑ์</t>
  </si>
  <si>
    <t xml:space="preserve">ศาลฎีกา</t>
  </si>
  <si>
    <t xml:space="preserve">ประมวลกฎหมาย</t>
  </si>
  <si>
    <t xml:space="preserve">สฤษดิ์</t>
  </si>
  <si>
    <t xml:space="preserve">กฎแห่งกรรม</t>
  </si>
  <si>
    <t xml:space="preserve">มหากาฬ</t>
  </si>
  <si>
    <t xml:space="preserve">ชัยพฤกษ์</t>
  </si>
  <si>
    <t xml:space="preserve">กุณฑล</t>
  </si>
  <si>
    <t xml:space="preserve">กัลปพฤกษ์</t>
  </si>
  <si>
    <t xml:space="preserve">คฤนถ์</t>
  </si>
  <si>
    <t xml:space="preserve">บุณฑริก</t>
  </si>
  <si>
    <t xml:space="preserve">มัชฌิมประเทศ</t>
  </si>
  <si>
    <t xml:space="preserve">เขฬะ</t>
  </si>
  <si>
    <t xml:space="preserve">มณฑก</t>
  </si>
  <si>
    <t xml:space="preserve">ปฤจฉาสรรพนาม</t>
  </si>
  <si>
    <t xml:space="preserve">ด่าน 9 · ประโยคยาว (บท 30–34) — ข้อความแต่งใหม่ทั้งหมด ไม่ได้คัดลอกจากหนังสือ</t>
  </si>
  <si>
    <t xml:space="preserve">หัวข้อ</t>
  </si>
  <si>
    <t xml:space="preserve">จำนวนตัว</t>
  </si>
  <si>
    <t xml:space="preserve">30A</t>
  </si>
  <si>
    <t xml:space="preserve">ตอนเช้า</t>
  </si>
  <si>
    <t xml:space="preserve">ทุกเช้าฉันตื่นนอนแล้วรีบแปรงฟัน ล้างหน้า และแต่งตัวไปโรงเรียน แม่เตรียมข้าวต้มร้อน ๆ ไว้ให้บนโต๊ะทุกวัน</t>
  </si>
  <si>
    <t xml:space="preserve">30B</t>
  </si>
  <si>
    <t xml:space="preserve">ห้องสมุดของโรงเรียนเรามีหนังสือนิทานมากมาย นักเรียนยืมกลับไปอ่านที่บ้านได้ครั้งละสองเล่ม</t>
  </si>
  <si>
    <t xml:space="preserve">30C</t>
  </si>
  <si>
    <t xml:space="preserve">ฝนตก</t>
  </si>
  <si>
    <t xml:space="preserve">ฝนตกหนักตั้งแต่บ่ายจนถึงค่ำ ถนนหน้าบ้านมีน้ำขัง เด็ก ๆ จึงต้องเดินเลียบขอบทางอย่างระมัดระวัง</t>
  </si>
  <si>
    <t xml:space="preserve">30D</t>
  </si>
  <si>
    <t xml:space="preserve">คุณตากับแมว</t>
  </si>
  <si>
    <t xml:space="preserve">คุณตาชอบนั่งอ่านหนังสือพิมพ์ใต้ต้นมะม่วงหลังบ้าน ส่วนแมวสีส้มของเราก็มักจะนอนหลับอยู่ข้าง ๆ คุณตาเสมอ</t>
  </si>
  <si>
    <t xml:space="preserve">30E</t>
  </si>
  <si>
    <t xml:space="preserve">ปลูกถั่วงอก</t>
  </si>
  <si>
    <t xml:space="preserve">วันนี้ครูให้นักเรียนจับคู่กันทำการทดลองปลูกถั่วงอก แล้วจดบันทึกความสูงของต้นถั่วทุกวันเป็นเวลาหนึ่งสัปดาห์</t>
  </si>
  <si>
    <t xml:space="preserve">31A</t>
  </si>
  <si>
    <t xml:space="preserve">ลูกช้างพลายน้อย</t>
  </si>
  <si>
    <t xml:space="preserve">กาลครั้งหนึ่ง มีลูกช้างตัวหนึ่งชื่อพลายน้อย มันชอบเล่นน้ำที่ลำธารใกล้หมู่บ้าน วันหนึ่งพลายน้อยเห็นนกตัวเล็กติดอยู่ในพุ่มไม้ริมน้ำ มันจึงใช้งวงค่อย ๆ แหวกกิ่งไม้ออกจนนกบินหนีไปได้ ไม่กี่วันต่อมา นกตัวนั้นบินกลับมาเตือนพลายน้อยว่ามีนายพรานซ่อนอยู่หลังต้นไม้ใหญ่ พลายน้อยจึงพาแม่หนีไปได้อย่างปลอดภัย ความดีที่เราทำย่อมกลับมาช่วยเราเสมอ</t>
  </si>
  <si>
    <t xml:space="preserve">31B</t>
  </si>
  <si>
    <t xml:space="preserve">ต้นมะเขือเทศ</t>
  </si>
  <si>
    <t xml:space="preserve">สมใจปลูกต้นมะเขือเทศไว้ในกระถางหลังบ้าน ทุกเช้าเธอรดน้ำและคอยดูว่ามีหนอนมากินใบหรือไม่ ผ่านไปหนึ่งเดือน ต้นมะเขือเทศเริ่มออกดอกสีเหลืองเล็ก ๆ อีกไม่นานดอกเหล่านั้นก็กลายเป็นผลสีเขียว แล้วค่อย ๆ เปลี่ยนเป็นสีแดง สมใจเก็บผลแรกไปให้คุณยายชิม คุณยายยิ้มและบอกว่าเป็นมะเขือเทศที่อร่อยที่สุดที่เคยกินมา</t>
  </si>
  <si>
    <t xml:space="preserve">31C</t>
  </si>
  <si>
    <t xml:space="preserve">มดกับตั๊กแตน</t>
  </si>
  <si>
    <t xml:space="preserve">ในฤดูร้อนปีหนึ่ง มดตัวเล็ก ๆ ขยันแบกเมล็ดข้าวกลับรังทุกวัน ขณะที่ตั๊กแตนนอนร้องเพลงอยู่บนใบหญ้า ตั๊กแตนหัวเราะและถามว่าทำไมต้องเหนื่อยขนาดนั้น มดตอบว่าอีกไม่นานฝนจะตกหนักและหาอาหารได้ยาก เมื่อฤดูฝนมาถึงจริง ตั๊กแตนหิวโซจนต้องมาขออาหารจากมด มดแบ่งข้าวให้กินและบอกว่า ปีหน้าเรามาช่วยกันเก็บอาหารตั้งแต่เนิ่น ๆ นะ ตั๊กแตนพยักหน้ารับด้วยความละอายใจ</t>
  </si>
  <si>
    <t xml:space="preserve">31D</t>
  </si>
  <si>
    <t xml:space="preserve">บ้านคุณยาย</t>
  </si>
  <si>
    <t xml:space="preserve">ปิดเทอมนี้ภูมิได้ไปเที่ยวบ้านคุณยายที่ต่างจังหวัด บ้านคุณยายอยู่ติดกับทุ่งนากว้าง ตอนเย็นภูมิชอบปั่นจักรยานไปตามคันนาเพื่อดูฝูงนกบินกลับรัง คืนหนึ่งไฟดับทั้งหมู่บ้าน ภูมิกลัวมาก แต่คุณยายจุดเทียนแล้วชวนออกไปนั่งดูดาวที่ลานหน้าบ้าน ภูมิไม่เคยเห็นดาวมากขนาดนี้มาก่อน คุณยายชี้ให้ดูกลุ่มดาวไก่ และเล่าว่าสมัยก่อนคนใช้ดาวบอกทิศทางเวลาเดินทางตอนกลางคืน</t>
  </si>
  <si>
    <t xml:space="preserve">31E</t>
  </si>
  <si>
    <t xml:space="preserve">เพื่อนใหม่</t>
  </si>
  <si>
    <t xml:space="preserve">เช้าวันจันทร์ ห้องเรียนของเรามีเพื่อนใหม่ชื่อมายด์ มายด์เพิ่งย้ายมาจากโรงเรียนอื่นจึงยังไม่รู้จักใคร ช่วงพักกลางวันเธอนั่งกินข้าวอยู่คนเดียว ฉันกับเพื่อนอีกสองคนจึงเดินไปชวนเธอมานั่งด้วยกัน เราคุยกันเรื่องการ์ตูนที่ชอบ และพบว่ามายด์วาดรูปเก่งมาก หลังจากวันนั้น มายด์ก็มีเพื่อนเล่นทุกวัน และยังช่วยวาดภาพประกอบให้รายงานกลุ่มของเราจนได้คะแนนเต็ม</t>
  </si>
  <si>
    <t xml:space="preserve">32A</t>
  </si>
  <si>
    <t xml:space="preserve">วัฏจักรน้ำ</t>
  </si>
  <si>
    <t xml:space="preserve">น้ำบนโลกเคลื่อนที่เป็นวัฏจักรไม่มีวันหยุด เมื่อแสงแดดส่องลงบนแม่น้ำ ทะเล และมหาสมุทร น้ำบางส่วนจะระเหยกลายเป็นไอลอยขึ้นสู่ท้องฟ้า เมื่อไอน้ำลอยสูงขึ้นไปเจออากาศเย็น ก็จะควบแน่นเป็นหยดน้ำเล็ก ๆ รวมตัวกันเป็นก้อนเมฆ เมื่อหยดน้ำในเมฆรวมกันจนหนักมากขึ้น ก็จะตกลงมาเป็นฝน น้ำฝนไหลลงสู่ลำธารและแม่น้ำ บางส่วนซึมลงไปใต้ดิน แล้วในที่สุดก็ไหลกลับสู่ทะเลอีกครั้ง วัฏจักรนี้ทำให้โลกของเรามีน้ำจืดใช้อยู่ตลอดเวลา</t>
  </si>
  <si>
    <t xml:space="preserve">32B</t>
  </si>
  <si>
    <t xml:space="preserve">สงกรานต์เป็นประเพณีขึ้นปีใหม่ของไทยที่จัดขึ้นในช่วงกลางเดือนเมษายน ในช่วงนี้ผู้คนจำนวนมากเดินทางกลับบ้านเกิดเพื่อพบครอบครัว ตอนเช้าหลายบ้านจะไปทำบุญตักบาตรที่วัด จากนั้นลูกหลานจะรดน้ำดำหัวผู้ใหญ่ เพื่อแสดงความเคารพและขอพรให้ชีวิตมีความสุข ส่วนการเล่นสาดน้ำนั้นช่วยคลายความร้อนในหน้าร้อน แต่เราควรเล่นอย่างสุภาพ ไม่ใช้น้ำสกปรก และไม่สาดน้ำใส่คนที่ไม่ต้องการเล่น เพื่อให้ทุกคนสนุกและปลอดภัย</t>
  </si>
  <si>
    <t xml:space="preserve">32C</t>
  </si>
  <si>
    <t xml:space="preserve">การสังเคราะห์ด้วยแสง</t>
  </si>
  <si>
    <t xml:space="preserve">พืชสีเขียวสร้างอาหารได้เองด้วยกระบวนการที่เรียกว่าการสังเคราะห์ด้วยแสง ใบของพืชมีสารสีเขียวชื่อคลอโรฟิลล์ ซึ่งทำหน้าที่รับพลังงานจากแสงแดด พืชดูดน้ำจากดินผ่านทางราก และรับแก๊สคาร์บอนไดออกไซด์จากอากาศผ่านทางปากใบ จากนั้นจึงนำทั้งสองอย่างมาสร้างเป็นน้ำตาลเพื่อใช้เป็นอาหาร ในระหว่างนี้พืชจะปล่อยแก๊สออกซิเจนออกมาสู่อากาศ ซึ่งเป็นแก๊สที่คนและสัตว์ต้องใช้ในการหายใจ ดังนั้นการปลูกต้นไม้จึงช่วยให้อากาศรอบตัวเราสดชื่นขึ้น</t>
  </si>
  <si>
    <t xml:space="preserve">32D</t>
  </si>
  <si>
    <t xml:space="preserve">การนอนหลับ</t>
  </si>
  <si>
    <t xml:space="preserve">การนอนหลับเป็นสิ่งสำคัญต่อร่างกายไม่น้อยไปกว่าการกินอาหาร ขณะที่เรานอนหลับ ร่างกายจะซ่อมแซมส่วนที่สึกหรอ และสมองจะจัดเก็บสิ่งที่เราเรียนรู้มาตลอดทั้งวัน เด็กในวัยประถมควรนอนวันละประมาณเก้าถึงสิบสองชั่วโมง ถ้านอนไม่พอ เราจะรู้สึกง่วงในห้องเรียน จำบทเรียนได้ยาก และอารมณ์เสียง่าย วิธีง่าย ๆ ที่ช่วยให้นอนหลับดี คือเข้านอนให้ตรงเวลาทุกคืน ปิดโทรศัพท์และแท็บเล็ตก่อนนอนอย่างน้อยหนึ่งชั่วโมง และไม่กินขนมหวานหรือดื่มน้ำอัดลมในตอนกลางคืน</t>
  </si>
  <si>
    <t xml:space="preserve">32E</t>
  </si>
  <si>
    <t xml:space="preserve">ความปลอดภัยออนไลน์</t>
  </si>
  <si>
    <t xml:space="preserve">เมื่อเราใช้อินเทอร์เน็ต เราควรดูแลข้อมูลส่วนตัวของตัวเองให้ดี ข้อมูลส่วนตัว เช่น ชื่อจริง ที่อยู่ เบอร์โทรศัพท์ และชื่อโรงเรียน ไม่ควรบอกกับคนที่เรารู้จักเพียงในโลกออนไลน์ รหัสผ่านก็ควรตั้งให้เดายาก และไม่บอกใครนอกจากพ่อแม่หรือผู้ปกครอง ถ้ามีคนแปลกหน้าส่งข้อความมาชวนคุย ขอรูปถ่าย หรือชวนออกไปพบกัน เราควรรีบบอกผู้ใหญ่ที่ไว้ใจทันที นอกจากนี้ก่อนจะโพสต์หรือส่งต่ออะไร ให้คิดก่อนเสมอว่าสิ่งนั้นเป็นความจริงหรือไม่ และจะทำให้ใครเสียใจหรือเปล่า</t>
  </si>
  <si>
    <t xml:space="preserve">33A</t>
  </si>
  <si>
    <t xml:space="preserve">ประกาศห้องสมุด</t>
  </si>
  <si>
    <t xml:space="preserve">ประกาศจากห้องสมุด วันศุกร์ที่ ๑๖ ตุลาคม ๒๕๖๙ ห้องสมุดเปิดเวลา ๘.๓๐ - ๑๖.๐๐ น. นักเรียนชั้น ป.๓ - ป.๖ ยืมหนังสือได้คนละ ๒ เล่ม (ไม่เกิน ๗ วัน) หากคืนช้าต้องจ่ายค่าปรับวันละ ฿๒ ใครมีคำถาม เช่น "หนังสือเล่มนี้อยู่ชั้นไหน?" สอบถามบรรณารักษ์ได้ที่โต๊ะหน้าห้อง ๒๐๕ อาคาร ๓ ทุกวันจันทร์ - ศุกร์</t>
  </si>
  <si>
    <t xml:space="preserve">33B</t>
  </si>
  <si>
    <t xml:space="preserve">ไปตลาด</t>
  </si>
  <si>
    <t xml:space="preserve">แม่ให้เงินฉัน ฿๑๐๐ ไปซื้อของที่ตลาดเช้าวันเสาร์ ฉันซื้อไข่ไก่ ๑๐ ฟอง ราคา ฿๔๕, ผักบุ้ง ๒ กำ กำละ ฿๑๕ และกล้วยหอม ๑ หวี ราคา ฿๒๐ รวมทั้งหมด ฿๙๕ แม่ถามว่า "ซื้อครบทุกอย่างหรือยัง?" ฉันตอบว่า "ครบแล้วจ้ะ เหลือเงินทอน ๕ บาท" แม่ยิ้มแล้วบอกให้หยอดกระปุกออมสินไว้ ตอนนี้ในกระปุกของฉันมีเงินรวม ฿๒๓๗ ฉันตั้งใจจะเก็บให้ครบ ฿๕๐๐ ภายในวันที่ ๓๑/๑๒/๒๕๖๙</t>
  </si>
  <si>
    <t xml:space="preserve">33C</t>
  </si>
  <si>
    <t xml:space="preserve">ตารางเรียน</t>
  </si>
  <si>
    <t xml:space="preserve">ตารางเรียนวันพุธของชั้น ป.๔/๒ เริ่มคาบแรกเวลา ๘.๓๐ - ๙.๒๐ น. วิชาคณิตศาสตร์ ห้อง ๓๐๑ ต่อด้วยวิชาภาษาไทยเวลา ๙.๒๐ - ๑๐.๑๐ น. พักกลางวันเวลา ๑๑.๕๐ - ๑๒.๔๐ น. ช่วงบ่ายเป็นวิชาคอมพิวเตอร์ (ห้อง ๒๐๔) และวิชาพลศึกษา ซึ่งต้องเปลี่ยนชุดกีฬาก่อนเข้าเรียน ๑๐ นาที ใครลืมนำชุดมา ให้แจ้งครูประจำชั้นก่อนเวลา ๑๓.๐๐ น. ถ้ามีข้อสงสัย เช่น "วันนี้ต้องนำสีไม้มาด้วยไหม?" ให้ถามหัวหน้าห้องได้</t>
  </si>
  <si>
    <t xml:space="preserve">33D</t>
  </si>
  <si>
    <t xml:space="preserve">สูตรน้ำมะนาวโซดา</t>
  </si>
  <si>
    <t xml:space="preserve">สูตรน้ำมะนาวโซดาสำหรับ ๔ แก้ว เตรียมน้ำมะนาว ๑/๒ ถ้วย, น้ำเชื่อม ๑/๓ ถ้วย, โซดาเย็น ๓ ถ้วย และน้ำแข็ง ๑๒ - ๑๕ ก้อน วิธีทำ (๑) ผสมน้ำมะนาวกับน้ำเชื่อมให้เข้ากัน (๒) ใส่น้ำแข็งลงในแก้ว แก้วละ ๓ - ๔ ก้อน (๓) เทส่วนผสมลงไปแก้วละ ๓ ช้อนโต๊ะ แล้วเติมโซดาจนเกือบเต็มแก้ว ต้นทุนรวมประมาณ ฿๖๐ ถ้าขายแก้วละ ฿๒๕ จะได้กำไรเท่าไร? ลองคิดดูนะ</t>
  </si>
  <si>
    <t xml:space="preserve">33E</t>
  </si>
  <si>
    <t xml:space="preserve">ผลฟุตบอลกีฬาสี</t>
  </si>
  <si>
    <t xml:space="preserve">ผลการแข่งขันฟุตบอลกีฬาสีวันที่ ๒๒/๑๑/๒๕๖๙ คู่แรก คณะสีแดงชนะคณะสีฟ้า ๓ - ๑ ประตู คู่ที่สอง คณะสีเหลืองเสมอกับคณะสีเขียว ๒ - ๒ ประตู (ตัดสินด้วยการยิงจุดโทษ ๕ - ๔) ผู้ทำประตูสูงสุดคือ ด.ช.ธนา จากคณะสีแดง ยิงได้ ๓ ประตู คณะที่ชนะเลิศจะได้รับถ้วยรางวัลและเงินสนับสนุนกิจกรรม ฿๑,๕๐๐ ส่วนคณะรองชนะเลิศได้รับ ฿๑,๐๐๐ การแข่งขันนัดชิงชนะเลิศจะเริ่มเวลา ๑๕.๓๐ น. ที่สนามหญ้าหน้าอาคาร ๑</t>
  </si>
  <si>
    <t xml:space="preserve">34A</t>
  </si>
  <si>
    <t xml:space="preserve">ป่าชายเลน</t>
  </si>
  <si>
    <t xml:space="preserve">ป่าชายเลนเป็นป่าที่ขึ้นอยู่ตามชายฝั่งทะเลและปากแม่น้ำ ซึ่งเป็นบริเวณที่น้ำทะเลขึ้นลงทุกวัน ต้นไม้ในป่าชายเลน เช่น ต้นโกงกาง มีรากค้ำยันที่แผ่ออกจากลำต้นลงไปยึดดินเลน ช่วยให้ต้นไม้ยืนอยู่ได้แม้น้ำจะขึ้นสูง รากเหล่านี้ยังช่วยชะลอคลื่นและลดการกัดเซาะชายฝั่ง ทำให้แผ่นดินริมทะเลไม่พังทลายลงไปเร็วเกินไป ใต้รากไม้ที่ซับซ้อนนั้นเป็นบ้านของสัตว์เล็ก ๆ มากมาย ทั้งปู กุ้ง หอย และลูกปลาหลายชนิด สัตว์เหล่านี้ใช้ป่าชายเลนเป็นที่หลบภัยจนกว่าจะโตพอที่จะออกไปหากินในทะเล เมื่อป่าชายเลนถูกทำลาย จำนวนสัตว์น้ำก็ลดลงตามไปด้วย ชาวประมงที่หาปลาใกล้ชายฝั่งจึงได้รับผลกระทบโดยตรง ปัจจุบันหลายชุมชนจึงช่วยกันปลูกป่าชายเลนเพิ่มขึ้น และตั้งกฎร่วมกันว่าจะไม่ตัดต้นไม้ในเขตป่าที่ปลูกไว้ เพื่อให้ป่าชายเลนเป็นแหล่งอาหารและปกป้องชายฝั่งให้ลูกหลานต่อไป</t>
  </si>
  <si>
    <t xml:space="preserve">34B</t>
  </si>
  <si>
    <t xml:space="preserve">วันกีฬาสี</t>
  </si>
  <si>
    <t xml:space="preserve">วันกีฬาสีของโรงเรียนเริ่มต้นตั้งแต่เช้าตรู่ นักเรียนทุกคนแต่งกายด้วยเสื้อสีของคณะตัวเอง ทั้งสีแดง สีเหลือง สีเขียว และสีฟ้า ขบวนพาเหรดเดินรอบสนามพร้อมเสียงกลองดังสนั่น ต้นข้าวเป็นนักวิ่งของคณะสีเหลือง เขาซ้อมวิ่งทุกเย็นมาตลอดสองเดือน แต่เมื่อถึงวันแข่งจริง ต้นข้าวกลับรู้สึกตื่นเต้นจนมือเย็นเฉียบ ครูพละเดินมาตบไหล่เบา ๆ แล้วบอกว่า ให้หายใจลึก ๆ และวิ่งให้เต็มที่ ไม่ต้องกังวลว่าจะได้ที่เท่าไร เมื่อเสียงนกหวีดดังขึ้น ต้นข้าวออกตัวได้ดีและวิ่งตามคนที่นำอยู่ไม่ห่าง พอถึงโค้งสุดท้าย เขาเร่งฝีเท้าสุดแรงจนแซงขึ้นไปได้หนึ่งคน และเข้าเส้นชัยเป็นอันดับที่สอง เพื่อน ๆ ในคณะวิ่งเข้ามากอดและส่งเสียงเชียร์ดังลั่น แม้จะไม่ได้ที่หนึ่ง แต่ต้นข้าวก็ภูมิใจมาก เพราะเขารู้ว่าตัวเองทำเต็มที่แล้ว และความพยายามตลอดสองเดือนไม่ได้สูญเปล่าเลย</t>
  </si>
  <si>
    <t xml:space="preserve">34C</t>
  </si>
  <si>
    <t xml:space="preserve">ผึ้งตัวน้อย</t>
  </si>
  <si>
    <t xml:space="preserve">ผึ้งเป็นแมลงตัวเล็กที่มีความสำคัญต่อโลกมากกว่าที่หลายคนคิด ในรังผึ้งหนึ่งรังมีผึ้งอาศัยอยู่ร่วมกันเป็นจำนวนมาก โดยแบ่งหน้าที่กันอย่างชัดเจน ผึ้งนางพญามีหน้าที่วางไข่ ผึ้งงานซึ่งเป็นผึ้งเพศเมียทั้งหมดจะคอยทำความสะอาดรัง เลี้ยงตัวอ่อน สร้างรวงรัง และออกไปหาอาหาร ส่วนผึ้งตัวผู้มีหน้าที่ผสมพันธุ์กับนางพญา เมื่อผึ้งงานพบแหล่งดอกไม้ที่มีน้ำหวานมาก มันจะบินกลับรังแล้วเต้นเป็นรูปแบบพิเศษ เพื่อบอกเพื่อน ๆ ว่าดอกไม้อยู่ทางไหนและไกลแค่ไหน ระหว่างที่ผึ้งบินจากดอกหนึ่งไปอีกดอกหนึ่ง เกสรที่ติดตามขนของมันจะตกลงบนดอกไม้ดอกอื่น ทำให้ดอกไม้ผสมเกสรและกลายเป็นผลได้ ผลไม้และผักหลายชนิดที่เรากินกันทุกวันจึงต้องอาศัยผึ้งช่วย หากผึ้งลดจำนวนลง ผลผลิตทางการเกษตรก็จะลดลงตามไปด้วย ปัจจุบันผึ้งในหลายพื้นที่กำลังลดลง เพราะการใช้สารเคมีกำจัดแมลงมากเกินไป และการตัดไม้ทำลายป่าที่เป็นแหล่งอาหาร เราช่วยผึ้งได้ด้วยการปลูกไม้ดอกไว้รอบบ้าน และเมื่อพบรังผึ้งไม่ควรทำลาย แต่ควรบอกผู้ใหญ่ให้ติดต่อผู้เชี่ยวชาญมาย้ายรังไปไว้ในที่ที่ปลอดภัยแทน</t>
  </si>
  <si>
    <t xml:space="preserve">34D</t>
  </si>
  <si>
    <t xml:space="preserve">พลอยหัดพิมพ์สัมผัส</t>
  </si>
  <si>
    <t xml:space="preserve">เมื่อต้นปีการศึกษา พลอยพิมพ์งานในคอมพิวเตอร์ได้ช้ามาก เธอต้องก้มมองแป้นพิมพ์ทุกครั้งก่อนกดตัวอักษร และใช้นิ้วเพียงสองนิ้วจิ้มไปทีละตัว การพิมพ์รายงานสั้น ๆ เพียงหนึ่งหน้าจึงใช้เวลาเกือบทั้งคาบ ครูคอมพิวเตอร์แนะนำให้พลอยลองฝึกพิมพ์สัมผัส โดยวางนิ้วทั้งแปดนิ้วไว้ที่แป้นเหย้า และพยายามไม่ก้มมองแป้นพิมพ์ ช่วงแรกพลอยรู้สึกว่ายากกว่าเดิมมาก เธอพิมพ์ผิดบ่อยจนอยากกลับไปใช้สองนิ้วเหมือนเดิม แต่ครูบอกว่าทุกทักษะต้องใช้เวลา ขอให้ฝึกวันละนิดแต่ทำทุกวัน พลอยจึงตั้งเป้าว่าจะฝึกวันละสิบห้านาทีก่อนทำการบ้าน ผ่านไปหนึ่งเดือน พลอยเริ่มจำตำแหน่งแป้นได้โดยไม่ต้องมอง ผ่านไปสามเดือน เธอพิมพ์ได้เร็วกว่าตอนใช้สองนิ้วเกือบเท่าตัว และไม่ต้องเงยหน้าก้มหน้าจนปวดคออีกต่อไป เมื่อมีการแข่งขันพิมพ์ดีดของโรงเรียน พลอยตัดสินใจลงสมัคร แม้จะไม่ได้รางวัลที่หนึ่ง แต่เธอก็ทำสถิติได้ดีที่สุดของตัวเอง และรู้แล้วว่าความพยายามเล็ก ๆ ที่ทำทุกวันสามารถเปลี่ยนแปลงสิ่งที่เคยคิดว่ายากได้จริง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</si>
</sst>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sz val="11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1"/>
      <color rgb="FFFFFFFF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FEF9C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Tahoma"/>
        <charset val="1"/>
        <family val="0"/>
        <strike val="1"/>
        <color rgb="FF94A3B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CCFF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4" t="s">
        <v>16</v>
      </c>
    </row>
    <row r="15" customFormat="false" ht="15" hidden="false" customHeight="false" outlineLevel="0" collapsed="false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29</v>
      </c>
      <c r="D2" s="2" t="s">
        <v>30</v>
      </c>
      <c r="E2" s="2" t="n">
        <f aca="false">COUNTIF(บท01!E:E,"✓")</f>
        <v>15</v>
      </c>
      <c r="F2" s="2" t="str">
        <f aca="false">IF(E2&gt;=40,"🟢 พอ",IF(E2&gt;=25,"🟠 พอใช้","🔴 น้อย"))</f>
        <v>🔴 น้อย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31</v>
      </c>
      <c r="D3" s="2" t="s">
        <v>32</v>
      </c>
      <c r="E3" s="2" t="n">
        <f aca="false">COUNTIF(บท02!E:E,"✓")</f>
        <v>29</v>
      </c>
      <c r="F3" s="2" t="str">
        <f aca="false">IF(E3&gt;=40,"🟢 พอ",IF(E3&gt;=25,"🟠 พอใช้","🔴 น้อย"))</f>
        <v>🟠 พอใช้</v>
      </c>
    </row>
    <row r="4" customFormat="false" ht="15" hidden="false" customHeight="false" outlineLevel="0" collapsed="false">
      <c r="A4" s="2" t="n">
        <v>3</v>
      </c>
      <c r="B4" s="2" t="n">
        <v>1</v>
      </c>
      <c r="C4" s="2" t="s">
        <v>33</v>
      </c>
      <c r="D4" s="2" t="s">
        <v>20</v>
      </c>
      <c r="E4" s="2" t="n">
        <f aca="false">E2+E3</f>
        <v>44</v>
      </c>
      <c r="F4" s="2" t="str">
        <f aca="false">IF(E4&gt;=40,"🟢 พอ",IF(E4&gt;=25,"🟠 พอใช้","🔴 น้อย"))</f>
        <v>🟢 พอ</v>
      </c>
    </row>
    <row r="5" customFormat="false" ht="15" hidden="false" customHeight="false" outlineLevel="0" collapsed="false">
      <c r="A5" s="2" t="n">
        <v>4</v>
      </c>
      <c r="B5" s="2" t="n">
        <v>2</v>
      </c>
      <c r="C5" s="2" t="s">
        <v>34</v>
      </c>
      <c r="D5" s="2" t="s">
        <v>35</v>
      </c>
      <c r="E5" s="2" t="n">
        <f aca="false">COUNTIF(บท04!E:E,"✓")</f>
        <v>110</v>
      </c>
      <c r="F5" s="2" t="str">
        <f aca="false">IF(E5&gt;=40,"🟢 พอ",IF(E5&gt;=25,"🟠 พอใช้","🔴 น้อย"))</f>
        <v>🟢 พอ</v>
      </c>
    </row>
    <row r="6" customFormat="false" ht="15" hidden="false" customHeight="false" outlineLevel="0" collapsed="false">
      <c r="A6" s="2" t="n">
        <v>5</v>
      </c>
      <c r="B6" s="2" t="n">
        <v>2</v>
      </c>
      <c r="C6" s="2" t="s">
        <v>36</v>
      </c>
      <c r="D6" s="2" t="s">
        <v>37</v>
      </c>
      <c r="E6" s="2" t="n">
        <f aca="false">COUNTIF(บท05!E:E,"✓")</f>
        <v>81</v>
      </c>
      <c r="F6" s="2" t="str">
        <f aca="false">IF(E6&gt;=40,"🟢 พอ",IF(E6&gt;=25,"🟠 พอใช้","🔴 น้อย"))</f>
        <v>🟢 พอ</v>
      </c>
    </row>
    <row r="7" customFormat="false" ht="15" hidden="false" customHeight="false" outlineLevel="0" collapsed="false">
      <c r="A7" s="2" t="n">
        <v>6</v>
      </c>
      <c r="B7" s="2" t="n">
        <v>2</v>
      </c>
      <c r="C7" s="2" t="s">
        <v>33</v>
      </c>
      <c r="D7" s="2" t="s">
        <v>20</v>
      </c>
      <c r="E7" s="2" t="n">
        <f aca="false">E2+E3+E5+E6</f>
        <v>235</v>
      </c>
      <c r="F7" s="2" t="str">
        <f aca="false">IF(E7&gt;=40,"🟢 พอ",IF(E7&gt;=25,"🟠 พอใช้","🔴 น้อย"))</f>
        <v>🟢 พอ</v>
      </c>
    </row>
    <row r="8" customFormat="false" ht="15" hidden="false" customHeight="false" outlineLevel="0" collapsed="false">
      <c r="A8" s="2" t="n">
        <v>7</v>
      </c>
      <c r="B8" s="2" t="n">
        <v>3</v>
      </c>
      <c r="C8" s="2" t="s">
        <v>38</v>
      </c>
      <c r="D8" s="2" t="s">
        <v>39</v>
      </c>
      <c r="E8" s="2" t="n">
        <f aca="false">COUNTIF(บท07!E:E,"✓")</f>
        <v>150</v>
      </c>
      <c r="F8" s="2" t="str">
        <f aca="false">IF(E8&gt;=40,"🟢 พอ",IF(E8&gt;=25,"🟠 พอใช้","🔴 น้อย"))</f>
        <v>🟢 พอ</v>
      </c>
    </row>
    <row r="9" customFormat="false" ht="15" hidden="false" customHeight="false" outlineLevel="0" collapsed="false">
      <c r="A9" s="2" t="n">
        <v>8</v>
      </c>
      <c r="B9" s="2" t="n">
        <v>3</v>
      </c>
      <c r="C9" s="2" t="s">
        <v>40</v>
      </c>
      <c r="D9" s="2" t="s">
        <v>41</v>
      </c>
      <c r="E9" s="2" t="n">
        <f aca="false">COUNTIF(บท08!E:E,"✓")</f>
        <v>150</v>
      </c>
      <c r="F9" s="2" t="str">
        <f aca="false">IF(E9&gt;=40,"🟢 พอ",IF(E9&gt;=25,"🟠 พอใช้","🔴 น้อย"))</f>
        <v>🟢 พอ</v>
      </c>
    </row>
    <row r="10" customFormat="false" ht="15" hidden="false" customHeight="false" outlineLevel="0" collapsed="false">
      <c r="A10" s="2" t="n">
        <v>9</v>
      </c>
      <c r="B10" s="2" t="n">
        <v>3</v>
      </c>
      <c r="C10" s="2" t="s">
        <v>33</v>
      </c>
      <c r="D10" s="2" t="s">
        <v>20</v>
      </c>
      <c r="E10" s="2" t="n">
        <f aca="false">E2+E3+E5+E6+E8+E9</f>
        <v>535</v>
      </c>
      <c r="F10" s="2" t="str">
        <f aca="false">IF(E10&gt;=40,"🟢 พอ",IF(E10&gt;=25,"🟠 พอใช้","🔴 น้อย"))</f>
        <v>🟢 พอ</v>
      </c>
    </row>
    <row r="11" customFormat="false" ht="15" hidden="false" customHeight="false" outlineLevel="0" collapsed="false">
      <c r="A11" s="2" t="n">
        <v>10</v>
      </c>
      <c r="B11" s="2" t="n">
        <v>4</v>
      </c>
      <c r="C11" s="2" t="s">
        <v>42</v>
      </c>
      <c r="D11" s="2" t="s">
        <v>43</v>
      </c>
      <c r="E11" s="2" t="n">
        <f aca="false">COUNTIF(บท10!E:E,"✓")</f>
        <v>150</v>
      </c>
      <c r="F11" s="2" t="str">
        <f aca="false">IF(E11&gt;=40,"🟢 พอ",IF(E11&gt;=25,"🟠 พอใช้","🔴 น้อย"))</f>
        <v>🟢 พอ</v>
      </c>
    </row>
    <row r="12" customFormat="false" ht="15" hidden="false" customHeight="false" outlineLevel="0" collapsed="false">
      <c r="A12" s="2" t="n">
        <v>11</v>
      </c>
      <c r="B12" s="2" t="n">
        <v>4</v>
      </c>
      <c r="C12" s="2" t="s">
        <v>44</v>
      </c>
      <c r="D12" s="2" t="s">
        <v>45</v>
      </c>
      <c r="E12" s="2" t="n">
        <f aca="false">COUNTIF(บท11!E:E,"✓")</f>
        <v>150</v>
      </c>
      <c r="F12" s="2" t="str">
        <f aca="false">IF(E12&gt;=40,"🟢 พอ",IF(E12&gt;=25,"🟠 พอใช้","🔴 น้อย"))</f>
        <v>🟢 พอ</v>
      </c>
    </row>
    <row r="13" customFormat="false" ht="15" hidden="false" customHeight="false" outlineLevel="0" collapsed="false">
      <c r="A13" s="2" t="n">
        <v>12</v>
      </c>
      <c r="B13" s="2" t="n">
        <v>4</v>
      </c>
      <c r="C13" s="2" t="s">
        <v>33</v>
      </c>
      <c r="D13" s="2" t="s">
        <v>20</v>
      </c>
      <c r="E13" s="2" t="n">
        <f aca="false">E2+E3+E5+E6+E8+E9+E11+E12</f>
        <v>835</v>
      </c>
      <c r="F13" s="2" t="str">
        <f aca="false">IF(E13&gt;=40,"🟢 พอ",IF(E13&gt;=25,"🟠 พอใช้","🔴 น้อย"))</f>
        <v>🟢 พอ</v>
      </c>
    </row>
    <row r="14" customFormat="false" ht="15" hidden="false" customHeight="false" outlineLevel="0" collapsed="false">
      <c r="A14" s="2" t="n">
        <v>13</v>
      </c>
      <c r="B14" s="2" t="n">
        <v>5</v>
      </c>
      <c r="C14" s="2" t="s">
        <v>46</v>
      </c>
      <c r="D14" s="2" t="s">
        <v>47</v>
      </c>
      <c r="E14" s="2" t="n">
        <f aca="false">COUNTIF(บท13!E:E,"✓")</f>
        <v>150</v>
      </c>
      <c r="F14" s="2" t="str">
        <f aca="false">IF(E14&gt;=40,"🟢 พอ",IF(E14&gt;=25,"🟠 พอใช้","🔴 น้อย"))</f>
        <v>🟢 พอ</v>
      </c>
    </row>
    <row r="15" customFormat="false" ht="15" hidden="false" customHeight="false" outlineLevel="0" collapsed="false">
      <c r="A15" s="2" t="n">
        <v>14</v>
      </c>
      <c r="B15" s="2" t="n">
        <v>5</v>
      </c>
      <c r="C15" s="2" t="s">
        <v>48</v>
      </c>
      <c r="D15" s="2" t="s">
        <v>49</v>
      </c>
      <c r="E15" s="2" t="n">
        <f aca="false">COUNTIF(บท14!E:E,"✓")</f>
        <v>150</v>
      </c>
      <c r="F15" s="2" t="str">
        <f aca="false">IF(E15&gt;=40,"🟢 พอ",IF(E15&gt;=25,"🟠 พอใช้","🔴 น้อย"))</f>
        <v>🟢 พอ</v>
      </c>
    </row>
    <row r="16" customFormat="false" ht="15" hidden="false" customHeight="false" outlineLevel="0" collapsed="false">
      <c r="A16" s="2" t="n">
        <v>15</v>
      </c>
      <c r="B16" s="2" t="n">
        <v>5</v>
      </c>
      <c r="C16" s="2" t="s">
        <v>50</v>
      </c>
      <c r="D16" s="2" t="s">
        <v>51</v>
      </c>
      <c r="E16" s="2" t="n">
        <f aca="false">COUNTIF(บท15!E:E,"✓")</f>
        <v>150</v>
      </c>
      <c r="F16" s="2" t="str">
        <f aca="false">IF(E16&gt;=40,"🟢 พอ",IF(E16&gt;=25,"🟠 พอใช้","🔴 น้อย"))</f>
        <v>🟢 พอ</v>
      </c>
    </row>
    <row r="17" customFormat="false" ht="15" hidden="false" customHeight="false" outlineLevel="0" collapsed="false">
      <c r="A17" s="2" t="n">
        <v>16</v>
      </c>
      <c r="B17" s="2" t="n">
        <v>5</v>
      </c>
      <c r="C17" s="2" t="s">
        <v>52</v>
      </c>
      <c r="D17" s="2" t="s">
        <v>53</v>
      </c>
      <c r="E17" s="2" t="n">
        <f aca="false">COUNTIF(บท16!E:E,"✓")</f>
        <v>150</v>
      </c>
      <c r="F17" s="2" t="str">
        <f aca="false">IF(E17&gt;=40,"🟢 พอ",IF(E17&gt;=25,"🟠 พอใช้","🔴 น้อย"))</f>
        <v>🟢 พอ</v>
      </c>
    </row>
    <row r="18" customFormat="false" ht="15" hidden="false" customHeight="false" outlineLevel="0" collapsed="false">
      <c r="A18" s="2" t="n">
        <v>17</v>
      </c>
      <c r="B18" s="2" t="n">
        <v>5</v>
      </c>
      <c r="C18" s="2" t="s">
        <v>33</v>
      </c>
      <c r="D18" s="2" t="s">
        <v>20</v>
      </c>
      <c r="E18" s="2" t="n">
        <f aca="false">E2+E3+E5+E6+E8+E9+E11+E12+E14+E15+E16+E17</f>
        <v>1435</v>
      </c>
      <c r="F18" s="2" t="str">
        <f aca="false">IF(E18&gt;=40,"🟢 พอ",IF(E18&gt;=25,"🟠 พอใช้","🔴 น้อย"))</f>
        <v>🟢 พอ</v>
      </c>
    </row>
    <row r="19" customFormat="false" ht="15" hidden="false" customHeight="false" outlineLevel="0" collapsed="false">
      <c r="A19" s="2" t="n">
        <v>18</v>
      </c>
      <c r="B19" s="2" t="n">
        <v>6</v>
      </c>
      <c r="C19" s="2" t="s">
        <v>54</v>
      </c>
      <c r="D19" s="2" t="s">
        <v>55</v>
      </c>
      <c r="E19" s="2" t="n">
        <f aca="false">COUNTIF(บท18!E:E,"✓")</f>
        <v>150</v>
      </c>
      <c r="F19" s="2" t="str">
        <f aca="false">IF(E19&gt;=40,"🟢 พอ",IF(E19&gt;=25,"🟠 พอใช้","🔴 น้อย"))</f>
        <v>🟢 พอ</v>
      </c>
    </row>
    <row r="20" customFormat="false" ht="15" hidden="false" customHeight="false" outlineLevel="0" collapsed="false">
      <c r="A20" s="2" t="n">
        <v>19</v>
      </c>
      <c r="B20" s="2" t="n">
        <v>6</v>
      </c>
      <c r="C20" s="2" t="s">
        <v>56</v>
      </c>
      <c r="D20" s="2" t="s">
        <v>57</v>
      </c>
      <c r="E20" s="2" t="n">
        <f aca="false">COUNTIF(บท19!E:E,"✓")</f>
        <v>150</v>
      </c>
      <c r="F20" s="2" t="str">
        <f aca="false">IF(E20&gt;=40,"🟢 พอ",IF(E20&gt;=25,"🟠 พอใช้","🔴 น้อย"))</f>
        <v>🟢 พอ</v>
      </c>
    </row>
    <row r="21" customFormat="false" ht="15" hidden="false" customHeight="false" outlineLevel="0" collapsed="false">
      <c r="A21" s="2" t="n">
        <v>20</v>
      </c>
      <c r="B21" s="2" t="n">
        <v>6</v>
      </c>
      <c r="C21" s="2" t="s">
        <v>58</v>
      </c>
      <c r="D21" s="2" t="s">
        <v>59</v>
      </c>
      <c r="E21" s="2" t="n">
        <f aca="false">COUNTIF(บท20!E:E,"✓")</f>
        <v>150</v>
      </c>
      <c r="F21" s="2" t="str">
        <f aca="false">IF(E21&gt;=40,"🟢 พอ",IF(E21&gt;=25,"🟠 พอใช้","🔴 น้อย"))</f>
        <v>🟢 พอ</v>
      </c>
    </row>
    <row r="22" customFormat="false" ht="15" hidden="false" customHeight="false" outlineLevel="0" collapsed="false">
      <c r="A22" s="2" t="n">
        <v>21</v>
      </c>
      <c r="B22" s="2" t="n">
        <v>6</v>
      </c>
      <c r="C22" s="2" t="s">
        <v>33</v>
      </c>
      <c r="D22" s="2" t="s">
        <v>20</v>
      </c>
      <c r="E22" s="2" t="n">
        <f aca="false">E2+E3+E5+E6+E8+E9+E11+E12+E14+E15+E16+E17+E19+E20+E21</f>
        <v>1885</v>
      </c>
      <c r="F22" s="2" t="str">
        <f aca="false">IF(E22&gt;=40,"🟢 พอ",IF(E22&gt;=25,"🟠 พอใช้","🔴 น้อย"))</f>
        <v>🟢 พอ</v>
      </c>
    </row>
    <row r="23" customFormat="false" ht="15" hidden="false" customHeight="false" outlineLevel="0" collapsed="false">
      <c r="A23" s="2" t="n">
        <v>22</v>
      </c>
      <c r="B23" s="2" t="n">
        <v>7</v>
      </c>
      <c r="C23" s="2" t="s">
        <v>60</v>
      </c>
      <c r="D23" s="2" t="s">
        <v>61</v>
      </c>
      <c r="E23" s="2" t="n">
        <f aca="false">COUNTIF(บท22!E:E,"✓")</f>
        <v>150</v>
      </c>
      <c r="F23" s="2" t="str">
        <f aca="false">IF(E23&gt;=40,"🟢 พอ",IF(E23&gt;=25,"🟠 พอใช้","🔴 น้อย"))</f>
        <v>🟢 พอ</v>
      </c>
    </row>
    <row r="24" customFormat="false" ht="15" hidden="false" customHeight="false" outlineLevel="0" collapsed="false">
      <c r="A24" s="2" t="n">
        <v>23</v>
      </c>
      <c r="B24" s="2" t="n">
        <v>7</v>
      </c>
      <c r="C24" s="2" t="s">
        <v>62</v>
      </c>
      <c r="D24" s="2" t="s">
        <v>63</v>
      </c>
      <c r="E24" s="2" t="n">
        <f aca="false">COUNTIF(บท23!E:E,"✓")</f>
        <v>150</v>
      </c>
      <c r="F24" s="2" t="str">
        <f aca="false">IF(E24&gt;=40,"🟢 พอ",IF(E24&gt;=25,"🟠 พอใช้","🔴 น้อย"))</f>
        <v>🟢 พอ</v>
      </c>
    </row>
    <row r="25" customFormat="false" ht="15" hidden="false" customHeight="false" outlineLevel="0" collapsed="false">
      <c r="A25" s="2" t="n">
        <v>24</v>
      </c>
      <c r="B25" s="2" t="n">
        <v>7</v>
      </c>
      <c r="C25" s="2" t="s">
        <v>64</v>
      </c>
      <c r="D25" s="2" t="s">
        <v>65</v>
      </c>
      <c r="E25" s="2" t="n">
        <f aca="false">COUNTIF(บท24!E:E,"✓")</f>
        <v>136</v>
      </c>
      <c r="F25" s="2" t="str">
        <f aca="false">IF(E25&gt;=40,"🟢 พอ",IF(E25&gt;=25,"🟠 พอใช้","🔴 น้อย"))</f>
        <v>🟢 พอ</v>
      </c>
    </row>
    <row r="26" customFormat="false" ht="15" hidden="false" customHeight="false" outlineLevel="0" collapsed="false">
      <c r="A26" s="2" t="n">
        <v>25</v>
      </c>
      <c r="B26" s="2" t="n">
        <v>7</v>
      </c>
      <c r="C26" s="2" t="s">
        <v>33</v>
      </c>
      <c r="D26" s="2" t="s">
        <v>20</v>
      </c>
      <c r="E26" s="2" t="n">
        <f aca="false">E2+E3+E5+E6+E8+E9+E11+E12+E14+E15+E16+E17+E19+E20+E21+E23+E24+E25</f>
        <v>2321</v>
      </c>
      <c r="F26" s="2" t="str">
        <f aca="false">IF(E26&gt;=40,"🟢 พอ",IF(E26&gt;=25,"🟠 พอใช้","🔴 น้อย"))</f>
        <v>🟢 พอ</v>
      </c>
    </row>
    <row r="27" customFormat="false" ht="15" hidden="false" customHeight="false" outlineLevel="0" collapsed="false">
      <c r="A27" s="2" t="n">
        <v>30</v>
      </c>
      <c r="B27" s="2" t="n">
        <v>9</v>
      </c>
      <c r="C27" s="2" t="s">
        <v>66</v>
      </c>
      <c r="D27" s="2" t="s">
        <v>67</v>
      </c>
      <c r="E27" s="2" t="n">
        <f aca="false">COUNTIFS(ด่าน9!A:A,30,ด่าน9!E:E,"✓")</f>
        <v>5</v>
      </c>
      <c r="F27" s="2" t="str">
        <f aca="false">IF(E27&gt;=4,"🟢 พอ","🟠 เพิ่มชุด")</f>
        <v>🟢 พอ</v>
      </c>
    </row>
    <row r="28" customFormat="false" ht="15" hidden="false" customHeight="false" outlineLevel="0" collapsed="false">
      <c r="A28" s="2" t="n">
        <v>31</v>
      </c>
      <c r="B28" s="2" t="n">
        <v>9</v>
      </c>
      <c r="C28" s="2" t="s">
        <v>68</v>
      </c>
      <c r="D28" s="2" t="s">
        <v>67</v>
      </c>
      <c r="E28" s="2" t="n">
        <f aca="false">COUNTIFS(ด่าน9!A:A,31,ด่าน9!E:E,"✓")</f>
        <v>5</v>
      </c>
      <c r="F28" s="2" t="str">
        <f aca="false">IF(E28&gt;=4,"🟢 พอ","🟠 เพิ่มชุด")</f>
        <v>🟢 พอ</v>
      </c>
    </row>
    <row r="29" customFormat="false" ht="15" hidden="false" customHeight="false" outlineLevel="0" collapsed="false">
      <c r="A29" s="2" t="n">
        <v>32</v>
      </c>
      <c r="B29" s="2" t="n">
        <v>9</v>
      </c>
      <c r="C29" s="2" t="s">
        <v>69</v>
      </c>
      <c r="D29" s="2" t="s">
        <v>67</v>
      </c>
      <c r="E29" s="2" t="n">
        <f aca="false">COUNTIFS(ด่าน9!A:A,32,ด่าน9!E:E,"✓")</f>
        <v>5</v>
      </c>
      <c r="F29" s="2" t="str">
        <f aca="false">IF(E29&gt;=4,"🟢 พอ","🟠 เพิ่มชุด")</f>
        <v>🟢 พอ</v>
      </c>
    </row>
    <row r="30" customFormat="false" ht="15" hidden="false" customHeight="false" outlineLevel="0" collapsed="false">
      <c r="A30" s="2" t="n">
        <v>33</v>
      </c>
      <c r="B30" s="2" t="n">
        <v>9</v>
      </c>
      <c r="C30" s="2" t="s">
        <v>70</v>
      </c>
      <c r="D30" s="2" t="s">
        <v>67</v>
      </c>
      <c r="E30" s="2" t="n">
        <f aca="false">COUNTIFS(ด่าน9!A:A,33,ด่าน9!E:E,"✓")</f>
        <v>5</v>
      </c>
      <c r="F30" s="2" t="str">
        <f aca="false">IF(E30&gt;=4,"🟢 พอ","🟠 เพิ่มชุด")</f>
        <v>🟢 พอ</v>
      </c>
    </row>
    <row r="31" customFormat="false" ht="15" hidden="false" customHeight="false" outlineLevel="0" collapsed="false">
      <c r="A31" s="2" t="n">
        <v>34</v>
      </c>
      <c r="B31" s="2" t="n">
        <v>9</v>
      </c>
      <c r="C31" s="2" t="s">
        <v>71</v>
      </c>
      <c r="D31" s="2" t="s">
        <v>67</v>
      </c>
      <c r="E31" s="2" t="n">
        <f aca="false">COUNTIFS(ด่าน9!A:A,34,ด่าน9!E:E,"✓")</f>
        <v>4</v>
      </c>
      <c r="F31" s="2" t="str">
        <f aca="false">IF(E31&gt;=4,"🟢 พอ","🟠 เพิ่มชุด")</f>
        <v>🟢 พอ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72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73</v>
      </c>
      <c r="C4" s="5" t="n">
        <v>6255</v>
      </c>
      <c r="D4" s="5" t="n">
        <v>36043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74</v>
      </c>
      <c r="C5" s="5" t="n">
        <v>260</v>
      </c>
      <c r="D5" s="5" t="n">
        <v>3276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18</v>
      </c>
      <c r="C6" s="5" t="n">
        <v>251</v>
      </c>
      <c r="D6" s="5" t="n">
        <v>8418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75</v>
      </c>
      <c r="C7" s="5" t="n">
        <v>250</v>
      </c>
      <c r="D7" s="5" t="n">
        <v>4146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76</v>
      </c>
      <c r="C8" s="5" t="n">
        <v>191</v>
      </c>
      <c r="D8" s="5" t="n">
        <v>1259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77</v>
      </c>
      <c r="C9" s="5" t="n">
        <v>108</v>
      </c>
      <c r="D9" s="5" t="n">
        <v>4813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78</v>
      </c>
      <c r="C10" s="5" t="n">
        <v>54</v>
      </c>
      <c r="D10" s="5" t="n">
        <v>0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79</v>
      </c>
      <c r="C11" s="5" t="n">
        <v>53</v>
      </c>
      <c r="D11" s="5" t="n">
        <v>728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80</v>
      </c>
      <c r="C12" s="5" t="n">
        <v>52</v>
      </c>
      <c r="D12" s="5" t="n">
        <v>257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81</v>
      </c>
      <c r="C13" s="5" t="n">
        <v>46</v>
      </c>
      <c r="D13" s="5" t="n">
        <v>376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82</v>
      </c>
      <c r="C14" s="5" t="n">
        <v>42</v>
      </c>
      <c r="D14" s="5" t="n">
        <v>169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83</v>
      </c>
      <c r="C15" s="5" t="n">
        <v>34</v>
      </c>
      <c r="D15" s="5" t="n">
        <v>212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84</v>
      </c>
      <c r="C16" s="5" t="n">
        <v>33</v>
      </c>
      <c r="D16" s="5" t="n">
        <v>368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85</v>
      </c>
      <c r="C17" s="5" t="n">
        <v>9</v>
      </c>
      <c r="D17" s="5" t="n">
        <v>35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86</v>
      </c>
      <c r="C18" s="5" t="n">
        <v>7</v>
      </c>
      <c r="D18" s="5" t="n">
        <v>9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7"/>
      <c r="C19" s="7"/>
      <c r="D19" s="7"/>
      <c r="E19" s="8"/>
      <c r="F19" s="7"/>
    </row>
    <row r="20" customFormat="false" ht="15" hidden="false" customHeight="false" outlineLevel="0" collapsed="false">
      <c r="A20" s="5" t="n">
        <v>17</v>
      </c>
      <c r="B20" s="7"/>
      <c r="C20" s="7"/>
      <c r="D20" s="7"/>
      <c r="E20" s="8"/>
      <c r="F20" s="7"/>
    </row>
    <row r="21" customFormat="false" ht="15" hidden="false" customHeight="false" outlineLevel="0" collapsed="false">
      <c r="A21" s="5" t="n">
        <v>18</v>
      </c>
      <c r="B21" s="7"/>
      <c r="C21" s="7"/>
      <c r="D21" s="7"/>
      <c r="E21" s="8"/>
      <c r="F21" s="7"/>
    </row>
    <row r="22" customFormat="false" ht="15" hidden="false" customHeight="false" outlineLevel="0" collapsed="false">
      <c r="A22" s="5" t="n">
        <v>19</v>
      </c>
      <c r="B22" s="7"/>
      <c r="C22" s="7"/>
      <c r="D22" s="7"/>
      <c r="E22" s="8"/>
      <c r="F22" s="7"/>
    </row>
    <row r="23" customFormat="false" ht="15" hidden="false" customHeight="false" outlineLevel="0" collapsed="false">
      <c r="A23" s="5" t="n">
        <v>20</v>
      </c>
      <c r="B23" s="7"/>
      <c r="C23" s="7"/>
      <c r="D23" s="7"/>
      <c r="E23" s="8"/>
      <c r="F23" s="7"/>
    </row>
    <row r="24" customFormat="false" ht="15" hidden="false" customHeight="false" outlineLevel="0" collapsed="false">
      <c r="A24" s="5" t="n">
        <v>21</v>
      </c>
      <c r="B24" s="7"/>
      <c r="C24" s="7"/>
      <c r="D24" s="7"/>
      <c r="E24" s="8"/>
      <c r="F24" s="7"/>
    </row>
    <row r="25" customFormat="false" ht="15" hidden="false" customHeight="false" outlineLevel="0" collapsed="false">
      <c r="A25" s="5" t="n">
        <v>22</v>
      </c>
      <c r="B25" s="7"/>
      <c r="C25" s="7"/>
      <c r="D25" s="7"/>
      <c r="E25" s="8"/>
      <c r="F25" s="7"/>
    </row>
    <row r="26" customFormat="false" ht="15" hidden="false" customHeight="false" outlineLevel="0" collapsed="false">
      <c r="A26" s="5" t="n">
        <v>23</v>
      </c>
      <c r="B26" s="7"/>
      <c r="C26" s="7"/>
      <c r="D26" s="7"/>
      <c r="E26" s="8"/>
      <c r="F26" s="7"/>
    </row>
    <row r="27" customFormat="false" ht="15" hidden="false" customHeight="false" outlineLevel="0" collapsed="false">
      <c r="A27" s="5" t="n">
        <v>24</v>
      </c>
      <c r="B27" s="7"/>
      <c r="C27" s="7"/>
      <c r="D27" s="7"/>
      <c r="E27" s="8"/>
      <c r="F27" s="7"/>
    </row>
    <row r="28" customFormat="false" ht="15" hidden="false" customHeight="false" outlineLevel="0" collapsed="false">
      <c r="A28" s="5" t="n">
        <v>25</v>
      </c>
      <c r="B28" s="7"/>
      <c r="C28" s="7"/>
      <c r="D28" s="7"/>
      <c r="E28" s="8"/>
      <c r="F28" s="7"/>
    </row>
    <row r="29" customFormat="false" ht="15" hidden="false" customHeight="false" outlineLevel="0" collapsed="false">
      <c r="A29" s="5" t="n">
        <v>26</v>
      </c>
      <c r="B29" s="7"/>
      <c r="C29" s="7"/>
      <c r="D29" s="7"/>
      <c r="E29" s="8"/>
      <c r="F29" s="7"/>
    </row>
    <row r="30" customFormat="false" ht="15" hidden="false" customHeight="false" outlineLevel="0" collapsed="false">
      <c r="A30" s="5" t="n">
        <v>27</v>
      </c>
      <c r="B30" s="7"/>
      <c r="C30" s="7"/>
      <c r="D30" s="7"/>
      <c r="E30" s="8"/>
      <c r="F30" s="7"/>
    </row>
    <row r="31" customFormat="false" ht="15" hidden="false" customHeight="false" outlineLevel="0" collapsed="false">
      <c r="A31" s="5" t="n">
        <v>28</v>
      </c>
      <c r="B31" s="7"/>
      <c r="C31" s="7"/>
      <c r="D31" s="7"/>
      <c r="E31" s="8"/>
      <c r="F31" s="7"/>
    </row>
    <row r="32" customFormat="false" ht="15" hidden="false" customHeight="false" outlineLevel="0" collapsed="false">
      <c r="A32" s="5" t="n">
        <v>29</v>
      </c>
      <c r="B32" s="7"/>
      <c r="C32" s="7"/>
      <c r="D32" s="7"/>
      <c r="E32" s="8"/>
      <c r="F32" s="7"/>
    </row>
    <row r="33" customFormat="false" ht="15" hidden="false" customHeight="false" outlineLevel="0" collapsed="false">
      <c r="A33" s="5" t="n">
        <v>30</v>
      </c>
      <c r="B33" s="7"/>
      <c r="C33" s="7"/>
      <c r="D33" s="7"/>
      <c r="E33" s="8"/>
      <c r="F33" s="7"/>
    </row>
    <row r="34" customFormat="false" ht="15" hidden="false" customHeight="false" outlineLevel="0" collapsed="false">
      <c r="A34" s="5" t="n">
        <v>31</v>
      </c>
      <c r="B34" s="7"/>
      <c r="C34" s="7"/>
      <c r="D34" s="7"/>
      <c r="E34" s="8"/>
      <c r="F34" s="7"/>
    </row>
    <row r="35" customFormat="false" ht="15" hidden="false" customHeight="false" outlineLevel="0" collapsed="false">
      <c r="A35" s="5" t="n">
        <v>32</v>
      </c>
      <c r="B35" s="7"/>
      <c r="C35" s="7"/>
      <c r="D35" s="7"/>
      <c r="E35" s="8"/>
      <c r="F35" s="7"/>
    </row>
    <row r="36" customFormat="false" ht="15" hidden="false" customHeight="false" outlineLevel="0" collapsed="false">
      <c r="A36" s="5" t="n">
        <v>33</v>
      </c>
      <c r="B36" s="7"/>
      <c r="C36" s="7"/>
      <c r="D36" s="7"/>
      <c r="E36" s="8"/>
      <c r="F36" s="7"/>
    </row>
    <row r="37" customFormat="false" ht="15" hidden="false" customHeight="false" outlineLevel="0" collapsed="false">
      <c r="A37" s="5" t="n">
        <v>34</v>
      </c>
      <c r="B37" s="7"/>
      <c r="C37" s="7"/>
      <c r="D37" s="7"/>
      <c r="E37" s="8"/>
      <c r="F37" s="7"/>
    </row>
    <row r="38" customFormat="false" ht="15" hidden="false" customHeight="false" outlineLevel="0" collapsed="false">
      <c r="A38" s="5" t="n">
        <v>35</v>
      </c>
      <c r="B38" s="7"/>
      <c r="C38" s="7"/>
      <c r="D38" s="7"/>
      <c r="E38" s="8"/>
      <c r="F38" s="7"/>
    </row>
  </sheetData>
  <conditionalFormatting sqref="A4:F38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38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87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88</v>
      </c>
      <c r="C4" s="5" t="n">
        <v>40290</v>
      </c>
      <c r="D4" s="5" t="n">
        <v>358393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89</v>
      </c>
      <c r="C5" s="5" t="n">
        <v>4780</v>
      </c>
      <c r="D5" s="5" t="n">
        <v>71636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90</v>
      </c>
      <c r="C6" s="5" t="n">
        <v>1089</v>
      </c>
      <c r="D6" s="5" t="n">
        <v>23795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91</v>
      </c>
      <c r="C7" s="5" t="n">
        <v>1043</v>
      </c>
      <c r="D7" s="5" t="n">
        <v>28582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92</v>
      </c>
      <c r="C8" s="5" t="n">
        <v>628</v>
      </c>
      <c r="D8" s="5" t="n">
        <v>5854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93</v>
      </c>
      <c r="C9" s="5" t="n">
        <v>417</v>
      </c>
      <c r="D9" s="5" t="n">
        <v>3794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94</v>
      </c>
      <c r="C10" s="5" t="n">
        <v>292</v>
      </c>
      <c r="D10" s="5" t="n">
        <v>6496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95</v>
      </c>
      <c r="C11" s="5" t="n">
        <v>274</v>
      </c>
      <c r="D11" s="5" t="n">
        <v>3754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96</v>
      </c>
      <c r="C12" s="5" t="n">
        <v>224</v>
      </c>
      <c r="D12" s="5" t="n">
        <v>1158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97</v>
      </c>
      <c r="C13" s="5" t="n">
        <v>173</v>
      </c>
      <c r="D13" s="5" t="n">
        <v>3603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98</v>
      </c>
      <c r="C14" s="5" t="n">
        <v>159</v>
      </c>
      <c r="D14" s="5" t="n">
        <v>1055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99</v>
      </c>
      <c r="C15" s="5" t="n">
        <v>159</v>
      </c>
      <c r="D15" s="5" t="n">
        <v>674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100</v>
      </c>
      <c r="C16" s="5" t="n">
        <v>130</v>
      </c>
      <c r="D16" s="5" t="n">
        <v>295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101</v>
      </c>
      <c r="C17" s="5" t="n">
        <v>128</v>
      </c>
      <c r="D17" s="5" t="n">
        <v>1327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102</v>
      </c>
      <c r="C18" s="5" t="n">
        <v>127</v>
      </c>
      <c r="D18" s="5" t="n">
        <v>697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103</v>
      </c>
      <c r="C19" s="5" t="n">
        <v>113</v>
      </c>
      <c r="D19" s="5" t="n">
        <v>736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104</v>
      </c>
      <c r="C20" s="5" t="n">
        <v>111</v>
      </c>
      <c r="D20" s="5" t="n">
        <v>406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105</v>
      </c>
      <c r="C21" s="5" t="n">
        <v>109</v>
      </c>
      <c r="D21" s="5" t="n">
        <v>342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106</v>
      </c>
      <c r="C22" s="5" t="n">
        <v>56</v>
      </c>
      <c r="D22" s="5" t="n">
        <v>398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107</v>
      </c>
      <c r="C23" s="5" t="n">
        <v>48</v>
      </c>
      <c r="D23" s="5" t="n">
        <v>661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108</v>
      </c>
      <c r="C24" s="5" t="n">
        <v>47</v>
      </c>
      <c r="D24" s="5" t="n">
        <v>86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109</v>
      </c>
      <c r="C25" s="5" t="n">
        <v>41</v>
      </c>
      <c r="D25" s="5" t="n">
        <v>358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110</v>
      </c>
      <c r="C26" s="5" t="n">
        <v>34</v>
      </c>
      <c r="D26" s="5" t="n">
        <v>354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111</v>
      </c>
      <c r="C27" s="5" t="n">
        <v>32</v>
      </c>
      <c r="D27" s="5" t="n">
        <v>189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112</v>
      </c>
      <c r="C28" s="5" t="n">
        <v>23</v>
      </c>
      <c r="D28" s="5" t="n">
        <v>278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113</v>
      </c>
      <c r="C29" s="5" t="n">
        <v>20</v>
      </c>
      <c r="D29" s="5" t="n">
        <v>448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114</v>
      </c>
      <c r="C30" s="5" t="n">
        <v>16</v>
      </c>
      <c r="D30" s="5" t="n">
        <v>57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115</v>
      </c>
      <c r="C31" s="5" t="n">
        <v>10</v>
      </c>
      <c r="D31" s="5" t="n">
        <v>264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116</v>
      </c>
      <c r="C32" s="5" t="n">
        <v>8</v>
      </c>
      <c r="D32" s="5" t="n">
        <v>99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7"/>
      <c r="C33" s="7"/>
      <c r="D33" s="7"/>
      <c r="E33" s="8"/>
      <c r="F33" s="7"/>
    </row>
    <row r="34" customFormat="false" ht="15" hidden="false" customHeight="false" outlineLevel="0" collapsed="false">
      <c r="A34" s="5" t="n">
        <v>31</v>
      </c>
      <c r="B34" s="7"/>
      <c r="C34" s="7"/>
      <c r="D34" s="7"/>
      <c r="E34" s="8"/>
      <c r="F34" s="7"/>
    </row>
    <row r="35" customFormat="false" ht="15" hidden="false" customHeight="false" outlineLevel="0" collapsed="false">
      <c r="A35" s="5" t="n">
        <v>32</v>
      </c>
      <c r="B35" s="7"/>
      <c r="C35" s="7"/>
      <c r="D35" s="7"/>
      <c r="E35" s="8"/>
      <c r="F35" s="7"/>
    </row>
    <row r="36" customFormat="false" ht="15" hidden="false" customHeight="false" outlineLevel="0" collapsed="false">
      <c r="A36" s="5" t="n">
        <v>33</v>
      </c>
      <c r="B36" s="7"/>
      <c r="C36" s="7"/>
      <c r="D36" s="7"/>
      <c r="E36" s="8"/>
      <c r="F36" s="7"/>
    </row>
    <row r="37" customFormat="false" ht="15" hidden="false" customHeight="false" outlineLevel="0" collapsed="false">
      <c r="A37" s="5" t="n">
        <v>34</v>
      </c>
      <c r="B37" s="7"/>
      <c r="C37" s="7"/>
      <c r="D37" s="7"/>
      <c r="E37" s="8"/>
      <c r="F37" s="7"/>
    </row>
    <row r="38" customFormat="false" ht="15" hidden="false" customHeight="false" outlineLevel="0" collapsed="false">
      <c r="A38" s="5" t="n">
        <v>35</v>
      </c>
      <c r="B38" s="7"/>
      <c r="C38" s="7"/>
      <c r="D38" s="7"/>
      <c r="E38" s="8"/>
      <c r="F38" s="7"/>
    </row>
    <row r="39" customFormat="false" ht="15" hidden="false" customHeight="false" outlineLevel="0" collapsed="false">
      <c r="A39" s="5" t="n">
        <v>36</v>
      </c>
      <c r="B39" s="7"/>
      <c r="C39" s="7"/>
      <c r="D39" s="7"/>
      <c r="E39" s="8"/>
      <c r="F39" s="7"/>
    </row>
    <row r="40" customFormat="false" ht="15" hidden="false" customHeight="false" outlineLevel="0" collapsed="false">
      <c r="A40" s="5" t="n">
        <v>37</v>
      </c>
      <c r="B40" s="7"/>
      <c r="C40" s="7"/>
      <c r="D40" s="7"/>
      <c r="E40" s="8"/>
      <c r="F40" s="7"/>
    </row>
    <row r="41" customFormat="false" ht="15" hidden="false" customHeight="false" outlineLevel="0" collapsed="false">
      <c r="A41" s="5" t="n">
        <v>38</v>
      </c>
      <c r="B41" s="7"/>
      <c r="C41" s="7"/>
      <c r="D41" s="7"/>
      <c r="E41" s="8"/>
      <c r="F41" s="7"/>
    </row>
    <row r="42" customFormat="false" ht="15" hidden="false" customHeight="false" outlineLevel="0" collapsed="false">
      <c r="A42" s="5" t="n">
        <v>39</v>
      </c>
      <c r="B42" s="7"/>
      <c r="C42" s="7"/>
      <c r="D42" s="7"/>
      <c r="E42" s="8"/>
      <c r="F42" s="7"/>
    </row>
    <row r="43" customFormat="false" ht="15" hidden="false" customHeight="false" outlineLevel="0" collapsed="false">
      <c r="A43" s="5" t="n">
        <v>40</v>
      </c>
      <c r="B43" s="7"/>
      <c r="C43" s="7"/>
      <c r="D43" s="7"/>
      <c r="E43" s="8"/>
      <c r="F43" s="7"/>
    </row>
    <row r="44" customFormat="false" ht="15" hidden="false" customHeight="false" outlineLevel="0" collapsed="false">
      <c r="A44" s="5" t="n">
        <v>41</v>
      </c>
      <c r="B44" s="7"/>
      <c r="C44" s="7"/>
      <c r="D44" s="7"/>
      <c r="E44" s="8"/>
      <c r="F44" s="7"/>
    </row>
    <row r="45" customFormat="false" ht="15" hidden="false" customHeight="false" outlineLevel="0" collapsed="false">
      <c r="A45" s="5" t="n">
        <v>42</v>
      </c>
      <c r="B45" s="7"/>
      <c r="C45" s="7"/>
      <c r="D45" s="7"/>
      <c r="E45" s="8"/>
      <c r="F45" s="7"/>
    </row>
    <row r="46" customFormat="false" ht="15" hidden="false" customHeight="false" outlineLevel="0" collapsed="false">
      <c r="A46" s="5" t="n">
        <v>43</v>
      </c>
      <c r="B46" s="7"/>
      <c r="C46" s="7"/>
      <c r="D46" s="7"/>
      <c r="E46" s="8"/>
      <c r="F46" s="7"/>
    </row>
    <row r="47" customFormat="false" ht="15" hidden="false" customHeight="false" outlineLevel="0" collapsed="false">
      <c r="A47" s="5" t="n">
        <v>44</v>
      </c>
      <c r="B47" s="7"/>
      <c r="C47" s="7"/>
      <c r="D47" s="7"/>
      <c r="E47" s="8"/>
      <c r="F47" s="7"/>
    </row>
    <row r="48" customFormat="false" ht="15" hidden="false" customHeight="false" outlineLevel="0" collapsed="false">
      <c r="A48" s="5" t="n">
        <v>45</v>
      </c>
      <c r="B48" s="7"/>
      <c r="C48" s="7"/>
      <c r="D48" s="7"/>
      <c r="E48" s="8"/>
      <c r="F48" s="7"/>
    </row>
    <row r="49" customFormat="false" ht="15" hidden="false" customHeight="false" outlineLevel="0" collapsed="false">
      <c r="A49" s="5" t="n">
        <v>46</v>
      </c>
      <c r="B49" s="7"/>
      <c r="C49" s="7"/>
      <c r="D49" s="7"/>
      <c r="E49" s="8"/>
      <c r="F49" s="7"/>
    </row>
    <row r="50" customFormat="false" ht="15" hidden="false" customHeight="false" outlineLevel="0" collapsed="false">
      <c r="A50" s="5" t="n">
        <v>47</v>
      </c>
      <c r="B50" s="7"/>
      <c r="C50" s="7"/>
      <c r="D50" s="7"/>
      <c r="E50" s="8"/>
      <c r="F50" s="7"/>
    </row>
    <row r="51" customFormat="false" ht="15" hidden="false" customHeight="false" outlineLevel="0" collapsed="false">
      <c r="A51" s="5" t="n">
        <v>48</v>
      </c>
      <c r="B51" s="7"/>
      <c r="C51" s="7"/>
      <c r="D51" s="7"/>
      <c r="E51" s="8"/>
      <c r="F51" s="7"/>
    </row>
    <row r="52" customFormat="false" ht="15" hidden="false" customHeight="false" outlineLevel="0" collapsed="false">
      <c r="A52" s="5" t="n">
        <v>49</v>
      </c>
      <c r="B52" s="7"/>
      <c r="C52" s="7"/>
      <c r="D52" s="7"/>
      <c r="E52" s="8"/>
      <c r="F52" s="7"/>
    </row>
  </sheetData>
  <conditionalFormatting sqref="A4:F52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52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117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118</v>
      </c>
      <c r="C4" s="5" t="n">
        <v>25401</v>
      </c>
      <c r="D4" s="5" t="n">
        <v>592036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119</v>
      </c>
      <c r="C5" s="5" t="n">
        <v>13966</v>
      </c>
      <c r="D5" s="5" t="n">
        <v>102429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120</v>
      </c>
      <c r="C6" s="5" t="n">
        <v>2282</v>
      </c>
      <c r="D6" s="5" t="n">
        <v>26207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121</v>
      </c>
      <c r="C7" s="5" t="n">
        <v>1228</v>
      </c>
      <c r="D7" s="5" t="n">
        <v>11262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122</v>
      </c>
      <c r="C8" s="5" t="n">
        <v>1223</v>
      </c>
      <c r="D8" s="5" t="n">
        <v>8735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123</v>
      </c>
      <c r="C9" s="5" t="n">
        <v>665</v>
      </c>
      <c r="D9" s="5" t="n">
        <v>4635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124</v>
      </c>
      <c r="C10" s="5" t="n">
        <v>659</v>
      </c>
      <c r="D10" s="5" t="n">
        <v>7756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125</v>
      </c>
      <c r="C11" s="5" t="n">
        <v>529</v>
      </c>
      <c r="D11" s="5" t="n">
        <v>1606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126</v>
      </c>
      <c r="C12" s="5" t="n">
        <v>517</v>
      </c>
      <c r="D12" s="5" t="n">
        <v>1930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127</v>
      </c>
      <c r="C13" s="5" t="n">
        <v>462</v>
      </c>
      <c r="D13" s="5" t="n">
        <v>1608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128</v>
      </c>
      <c r="C14" s="5" t="n">
        <v>440</v>
      </c>
      <c r="D14" s="5" t="n">
        <v>5669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129</v>
      </c>
      <c r="C15" s="5" t="n">
        <v>425</v>
      </c>
      <c r="D15" s="5" t="n">
        <v>4835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130</v>
      </c>
      <c r="C16" s="5" t="n">
        <v>410</v>
      </c>
      <c r="D16" s="5" t="n">
        <v>728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131</v>
      </c>
      <c r="C17" s="5" t="n">
        <v>408</v>
      </c>
      <c r="D17" s="5" t="n">
        <v>10945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132</v>
      </c>
      <c r="C18" s="5" t="n">
        <v>391</v>
      </c>
      <c r="D18" s="5" t="n">
        <v>5723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133</v>
      </c>
      <c r="C19" s="5" t="n">
        <v>387</v>
      </c>
      <c r="D19" s="5" t="n">
        <v>3456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134</v>
      </c>
      <c r="C20" s="5" t="n">
        <v>356</v>
      </c>
      <c r="D20" s="5" t="n">
        <v>4440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135</v>
      </c>
      <c r="C21" s="5" t="n">
        <v>351</v>
      </c>
      <c r="D21" s="5" t="n">
        <v>4430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136</v>
      </c>
      <c r="C22" s="5" t="n">
        <v>349</v>
      </c>
      <c r="D22" s="5" t="n">
        <v>6184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137</v>
      </c>
      <c r="C23" s="5" t="n">
        <v>334</v>
      </c>
      <c r="D23" s="5" t="n">
        <v>3746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138</v>
      </c>
      <c r="C24" s="5" t="n">
        <v>334</v>
      </c>
      <c r="D24" s="5" t="n">
        <v>2805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139</v>
      </c>
      <c r="C25" s="5" t="n">
        <v>328</v>
      </c>
      <c r="D25" s="5" t="n">
        <v>831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140</v>
      </c>
      <c r="C26" s="5" t="n">
        <v>325</v>
      </c>
      <c r="D26" s="5" t="n">
        <v>1969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141</v>
      </c>
      <c r="C27" s="5" t="n">
        <v>310</v>
      </c>
      <c r="D27" s="5" t="n">
        <v>3093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142</v>
      </c>
      <c r="C28" s="5" t="n">
        <v>290</v>
      </c>
      <c r="D28" s="5" t="n">
        <v>2405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143</v>
      </c>
      <c r="C29" s="5" t="n">
        <v>281</v>
      </c>
      <c r="D29" s="5" t="n">
        <v>1961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144</v>
      </c>
      <c r="C30" s="5" t="n">
        <v>194</v>
      </c>
      <c r="D30" s="5" t="n">
        <v>906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145</v>
      </c>
      <c r="C31" s="5" t="n">
        <v>186</v>
      </c>
      <c r="D31" s="5" t="n">
        <v>1187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146</v>
      </c>
      <c r="C32" s="5" t="n">
        <v>179</v>
      </c>
      <c r="D32" s="5" t="n">
        <v>823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147</v>
      </c>
      <c r="C33" s="5" t="n">
        <v>173</v>
      </c>
      <c r="D33" s="5" t="n">
        <v>1105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148</v>
      </c>
      <c r="C34" s="5" t="n">
        <v>170</v>
      </c>
      <c r="D34" s="5" t="n">
        <v>3187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149</v>
      </c>
      <c r="C35" s="5" t="n">
        <v>166</v>
      </c>
      <c r="D35" s="5" t="n">
        <v>1304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150</v>
      </c>
      <c r="C36" s="5" t="n">
        <v>158</v>
      </c>
      <c r="D36" s="5" t="n">
        <v>1593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151</v>
      </c>
      <c r="C37" s="5" t="n">
        <v>155</v>
      </c>
      <c r="D37" s="5" t="n">
        <v>1017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152</v>
      </c>
      <c r="C38" s="5" t="n">
        <v>149</v>
      </c>
      <c r="D38" s="5" t="n">
        <v>268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153</v>
      </c>
      <c r="C39" s="5" t="n">
        <v>147</v>
      </c>
      <c r="D39" s="5" t="n">
        <v>315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154</v>
      </c>
      <c r="C40" s="5" t="n">
        <v>141</v>
      </c>
      <c r="D40" s="5" t="n">
        <v>428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155</v>
      </c>
      <c r="C41" s="5" t="n">
        <v>137</v>
      </c>
      <c r="D41" s="5" t="n">
        <v>1203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156</v>
      </c>
      <c r="C42" s="5" t="n">
        <v>131</v>
      </c>
      <c r="D42" s="5" t="n">
        <v>1704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157</v>
      </c>
      <c r="C43" s="5" t="n">
        <v>129</v>
      </c>
      <c r="D43" s="5" t="n">
        <v>489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158</v>
      </c>
      <c r="C44" s="5" t="n">
        <v>123</v>
      </c>
      <c r="D44" s="5" t="n">
        <v>1960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159</v>
      </c>
      <c r="C45" s="5" t="n">
        <v>121</v>
      </c>
      <c r="D45" s="5" t="n">
        <v>902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160</v>
      </c>
      <c r="C46" s="5" t="n">
        <v>117</v>
      </c>
      <c r="D46" s="5" t="n">
        <v>652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161</v>
      </c>
      <c r="C47" s="5" t="n">
        <v>115</v>
      </c>
      <c r="D47" s="5" t="n">
        <v>12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162</v>
      </c>
      <c r="C48" s="5" t="n">
        <v>112</v>
      </c>
      <c r="D48" s="5" t="n">
        <v>1189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163</v>
      </c>
      <c r="C49" s="5" t="n">
        <v>107</v>
      </c>
      <c r="D49" s="5" t="n">
        <v>927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164</v>
      </c>
      <c r="C50" s="5" t="n">
        <v>98</v>
      </c>
      <c r="D50" s="5" t="n">
        <v>76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165</v>
      </c>
      <c r="C51" s="5" t="n">
        <v>87</v>
      </c>
      <c r="D51" s="5" t="n">
        <v>296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166</v>
      </c>
      <c r="C52" s="5" t="n">
        <v>87</v>
      </c>
      <c r="D52" s="5" t="n">
        <v>99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167</v>
      </c>
      <c r="C53" s="5" t="n">
        <v>82</v>
      </c>
      <c r="D53" s="5" t="n">
        <v>314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168</v>
      </c>
      <c r="C54" s="5" t="n">
        <v>76</v>
      </c>
      <c r="D54" s="5" t="n">
        <v>680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169</v>
      </c>
      <c r="C55" s="5" t="n">
        <v>72</v>
      </c>
      <c r="D55" s="5" t="n">
        <v>798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170</v>
      </c>
      <c r="C56" s="5" t="n">
        <v>66</v>
      </c>
      <c r="D56" s="5" t="n">
        <v>369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171</v>
      </c>
      <c r="C57" s="5" t="n">
        <v>64</v>
      </c>
      <c r="D57" s="5" t="n">
        <v>325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172</v>
      </c>
      <c r="C58" s="5" t="n">
        <v>64</v>
      </c>
      <c r="D58" s="5" t="n">
        <v>308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173</v>
      </c>
      <c r="C59" s="5" t="n">
        <v>64</v>
      </c>
      <c r="D59" s="5" t="n">
        <v>149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174</v>
      </c>
      <c r="C60" s="5" t="n">
        <v>63</v>
      </c>
      <c r="D60" s="5" t="n">
        <v>835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175</v>
      </c>
      <c r="C61" s="5" t="n">
        <v>62</v>
      </c>
      <c r="D61" s="5" t="n">
        <v>778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176</v>
      </c>
      <c r="C62" s="5" t="n">
        <v>61</v>
      </c>
      <c r="D62" s="5" t="n">
        <v>2161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177</v>
      </c>
      <c r="C63" s="5" t="n">
        <v>61</v>
      </c>
      <c r="D63" s="5" t="n">
        <v>901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178</v>
      </c>
      <c r="C64" s="5" t="n">
        <v>58</v>
      </c>
      <c r="D64" s="5" t="n">
        <v>817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179</v>
      </c>
      <c r="C65" s="5" t="n">
        <v>55</v>
      </c>
      <c r="D65" s="5" t="n">
        <v>558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180</v>
      </c>
      <c r="C66" s="5" t="n">
        <v>51</v>
      </c>
      <c r="D66" s="5" t="n">
        <v>1192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181</v>
      </c>
      <c r="C67" s="5" t="n">
        <v>50</v>
      </c>
      <c r="D67" s="5" t="n">
        <v>497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182</v>
      </c>
      <c r="C68" s="5" t="n">
        <v>48</v>
      </c>
      <c r="D68" s="5" t="n">
        <v>535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183</v>
      </c>
      <c r="C69" s="5" t="n">
        <v>46</v>
      </c>
      <c r="D69" s="5" t="n">
        <v>595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184</v>
      </c>
      <c r="C70" s="5" t="n">
        <v>46</v>
      </c>
      <c r="D70" s="5" t="n">
        <v>198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185</v>
      </c>
      <c r="C71" s="5" t="n">
        <v>45</v>
      </c>
      <c r="D71" s="5" t="n">
        <v>658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186</v>
      </c>
      <c r="C72" s="5" t="n">
        <v>45</v>
      </c>
      <c r="D72" s="5" t="n">
        <v>89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187</v>
      </c>
      <c r="C73" s="5" t="n">
        <v>40</v>
      </c>
      <c r="D73" s="5" t="n">
        <v>408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188</v>
      </c>
      <c r="C74" s="5" t="n">
        <v>35</v>
      </c>
      <c r="D74" s="5" t="n">
        <v>106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189</v>
      </c>
      <c r="C75" s="5" t="n">
        <v>33</v>
      </c>
      <c r="D75" s="5" t="n">
        <v>2852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190</v>
      </c>
      <c r="C76" s="5" t="n">
        <v>30</v>
      </c>
      <c r="D76" s="5" t="n">
        <v>109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191</v>
      </c>
      <c r="C77" s="5" t="n">
        <v>28</v>
      </c>
      <c r="D77" s="5" t="n">
        <v>146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192</v>
      </c>
      <c r="C78" s="5" t="n">
        <v>27</v>
      </c>
      <c r="D78" s="5" t="n">
        <v>325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193</v>
      </c>
      <c r="C79" s="5" t="n">
        <v>26</v>
      </c>
      <c r="D79" s="5" t="n">
        <v>1898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194</v>
      </c>
      <c r="C80" s="5" t="n">
        <v>26</v>
      </c>
      <c r="D80" s="5" t="n">
        <v>741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195</v>
      </c>
      <c r="C81" s="5" t="n">
        <v>24</v>
      </c>
      <c r="D81" s="5" t="n">
        <v>174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196</v>
      </c>
      <c r="C82" s="5" t="n">
        <v>24</v>
      </c>
      <c r="D82" s="5" t="n">
        <v>126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197</v>
      </c>
      <c r="C83" s="5" t="n">
        <v>23</v>
      </c>
      <c r="D83" s="5" t="n">
        <v>28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198</v>
      </c>
      <c r="C84" s="5" t="n">
        <v>22</v>
      </c>
      <c r="D84" s="5" t="n">
        <v>901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199</v>
      </c>
      <c r="C85" s="5" t="n">
        <v>22</v>
      </c>
      <c r="D85" s="5" t="n">
        <v>291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200</v>
      </c>
      <c r="C86" s="5" t="n">
        <v>22</v>
      </c>
      <c r="D86" s="5" t="n">
        <v>169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201</v>
      </c>
      <c r="C87" s="5" t="n">
        <v>21</v>
      </c>
      <c r="D87" s="5" t="n">
        <v>278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202</v>
      </c>
      <c r="C88" s="5" t="n">
        <v>21</v>
      </c>
      <c r="D88" s="5" t="n">
        <v>209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203</v>
      </c>
      <c r="C89" s="5" t="n">
        <v>20</v>
      </c>
      <c r="D89" s="5" t="n">
        <v>27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204</v>
      </c>
      <c r="C90" s="5" t="n">
        <v>20</v>
      </c>
      <c r="D90" s="5" t="n">
        <v>5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205</v>
      </c>
      <c r="C91" s="5" t="n">
        <v>16</v>
      </c>
      <c r="D91" s="5" t="n">
        <v>216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206</v>
      </c>
      <c r="C92" s="5" t="n">
        <v>16</v>
      </c>
      <c r="D92" s="5" t="n">
        <v>91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207</v>
      </c>
      <c r="C93" s="5" t="n">
        <v>15</v>
      </c>
      <c r="D93" s="5" t="n">
        <v>810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208</v>
      </c>
      <c r="C94" s="5" t="n">
        <v>15</v>
      </c>
      <c r="D94" s="5" t="n">
        <v>100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209</v>
      </c>
      <c r="C95" s="5" t="n">
        <v>14</v>
      </c>
      <c r="D95" s="5" t="n">
        <v>33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210</v>
      </c>
      <c r="C96" s="5" t="n">
        <v>13</v>
      </c>
      <c r="D96" s="5" t="n">
        <v>213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211</v>
      </c>
      <c r="C97" s="5" t="n">
        <v>12</v>
      </c>
      <c r="D97" s="5" t="n">
        <v>569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212</v>
      </c>
      <c r="C98" s="5" t="n">
        <v>12</v>
      </c>
      <c r="D98" s="5" t="n">
        <v>127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213</v>
      </c>
      <c r="C99" s="5" t="n">
        <v>12</v>
      </c>
      <c r="D99" s="5" t="n">
        <v>7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214</v>
      </c>
      <c r="C100" s="5" t="n">
        <v>11</v>
      </c>
      <c r="D100" s="5" t="n">
        <v>275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215</v>
      </c>
      <c r="C101" s="5" t="n">
        <v>11</v>
      </c>
      <c r="D101" s="5" t="n">
        <v>175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216</v>
      </c>
      <c r="C102" s="5" t="n">
        <v>10</v>
      </c>
      <c r="D102" s="5" t="n">
        <v>770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217</v>
      </c>
      <c r="C103" s="5" t="n">
        <v>9</v>
      </c>
      <c r="D103" s="5" t="n">
        <v>115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218</v>
      </c>
      <c r="C104" s="5" t="n">
        <v>8</v>
      </c>
      <c r="D104" s="5" t="n">
        <v>50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219</v>
      </c>
      <c r="C105" s="5" t="n">
        <v>8</v>
      </c>
      <c r="D105" s="5" t="n">
        <v>11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220</v>
      </c>
      <c r="C106" s="5" t="n">
        <v>7</v>
      </c>
      <c r="D106" s="5" t="n">
        <v>393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221</v>
      </c>
      <c r="C107" s="5" t="n">
        <v>7</v>
      </c>
      <c r="D107" s="5" t="n">
        <v>88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222</v>
      </c>
      <c r="C108" s="5" t="n">
        <v>7</v>
      </c>
      <c r="D108" s="5" t="n">
        <v>28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223</v>
      </c>
      <c r="C109" s="5" t="n">
        <v>7</v>
      </c>
      <c r="D109" s="5" t="n">
        <v>12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224</v>
      </c>
      <c r="C110" s="5" t="n">
        <v>6</v>
      </c>
      <c r="D110" s="5" t="n">
        <v>90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225</v>
      </c>
      <c r="C111" s="5" t="n">
        <v>6</v>
      </c>
      <c r="D111" s="5" t="n">
        <v>15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226</v>
      </c>
      <c r="C112" s="5" t="n">
        <v>5</v>
      </c>
      <c r="D112" s="5" t="n">
        <v>39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227</v>
      </c>
      <c r="C113" s="5" t="n">
        <v>5</v>
      </c>
      <c r="D113" s="5" t="n">
        <v>12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7"/>
      <c r="C114" s="7"/>
      <c r="D114" s="7"/>
      <c r="E114" s="8"/>
      <c r="F114" s="7"/>
    </row>
    <row r="115" customFormat="false" ht="15" hidden="false" customHeight="false" outlineLevel="0" collapsed="false">
      <c r="A115" s="5" t="n">
        <v>112</v>
      </c>
      <c r="B115" s="7"/>
      <c r="C115" s="7"/>
      <c r="D115" s="7"/>
      <c r="E115" s="8"/>
      <c r="F115" s="7"/>
    </row>
    <row r="116" customFormat="false" ht="15" hidden="false" customHeight="false" outlineLevel="0" collapsed="false">
      <c r="A116" s="5" t="n">
        <v>113</v>
      </c>
      <c r="B116" s="7"/>
      <c r="C116" s="7"/>
      <c r="D116" s="7"/>
      <c r="E116" s="8"/>
      <c r="F116" s="7"/>
    </row>
    <row r="117" customFormat="false" ht="15" hidden="false" customHeight="false" outlineLevel="0" collapsed="false">
      <c r="A117" s="5" t="n">
        <v>114</v>
      </c>
      <c r="B117" s="7"/>
      <c r="C117" s="7"/>
      <c r="D117" s="7"/>
      <c r="E117" s="8"/>
      <c r="F117" s="7"/>
    </row>
    <row r="118" customFormat="false" ht="15" hidden="false" customHeight="false" outlineLevel="0" collapsed="false">
      <c r="A118" s="5" t="n">
        <v>115</v>
      </c>
      <c r="B118" s="7"/>
      <c r="C118" s="7"/>
      <c r="D118" s="7"/>
      <c r="E118" s="8"/>
      <c r="F118" s="7"/>
    </row>
    <row r="119" customFormat="false" ht="15" hidden="false" customHeight="false" outlineLevel="0" collapsed="false">
      <c r="A119" s="5" t="n">
        <v>116</v>
      </c>
      <c r="B119" s="7"/>
      <c r="C119" s="7"/>
      <c r="D119" s="7"/>
      <c r="E119" s="8"/>
      <c r="F119" s="7"/>
    </row>
    <row r="120" customFormat="false" ht="15" hidden="false" customHeight="false" outlineLevel="0" collapsed="false">
      <c r="A120" s="5" t="n">
        <v>117</v>
      </c>
      <c r="B120" s="7"/>
      <c r="C120" s="7"/>
      <c r="D120" s="7"/>
      <c r="E120" s="8"/>
      <c r="F120" s="7"/>
    </row>
    <row r="121" customFormat="false" ht="15" hidden="false" customHeight="false" outlineLevel="0" collapsed="false">
      <c r="A121" s="5" t="n">
        <v>118</v>
      </c>
      <c r="B121" s="7"/>
      <c r="C121" s="7"/>
      <c r="D121" s="7"/>
      <c r="E121" s="8"/>
      <c r="F121" s="7"/>
    </row>
    <row r="122" customFormat="false" ht="15" hidden="false" customHeight="false" outlineLevel="0" collapsed="false">
      <c r="A122" s="5" t="n">
        <v>119</v>
      </c>
      <c r="B122" s="7"/>
      <c r="C122" s="7"/>
      <c r="D122" s="7"/>
      <c r="E122" s="8"/>
      <c r="F122" s="7"/>
    </row>
    <row r="123" customFormat="false" ht="15" hidden="false" customHeight="false" outlineLevel="0" collapsed="false">
      <c r="A123" s="5" t="n">
        <v>120</v>
      </c>
      <c r="B123" s="7"/>
      <c r="C123" s="7"/>
      <c r="D123" s="7"/>
      <c r="E123" s="8"/>
      <c r="F123" s="7"/>
    </row>
    <row r="124" customFormat="false" ht="15" hidden="false" customHeight="false" outlineLevel="0" collapsed="false">
      <c r="A124" s="5" t="n">
        <v>121</v>
      </c>
      <c r="B124" s="7"/>
      <c r="C124" s="7"/>
      <c r="D124" s="7"/>
      <c r="E124" s="8"/>
      <c r="F124" s="7"/>
    </row>
    <row r="125" customFormat="false" ht="15" hidden="false" customHeight="false" outlineLevel="0" collapsed="false">
      <c r="A125" s="5" t="n">
        <v>122</v>
      </c>
      <c r="B125" s="7"/>
      <c r="C125" s="7"/>
      <c r="D125" s="7"/>
      <c r="E125" s="8"/>
      <c r="F125" s="7"/>
    </row>
    <row r="126" customFormat="false" ht="15" hidden="false" customHeight="false" outlineLevel="0" collapsed="false">
      <c r="A126" s="5" t="n">
        <v>123</v>
      </c>
      <c r="B126" s="7"/>
      <c r="C126" s="7"/>
      <c r="D126" s="7"/>
      <c r="E126" s="8"/>
      <c r="F126" s="7"/>
    </row>
    <row r="127" customFormat="false" ht="15" hidden="false" customHeight="false" outlineLevel="0" collapsed="false">
      <c r="A127" s="5" t="n">
        <v>124</v>
      </c>
      <c r="B127" s="7"/>
      <c r="C127" s="7"/>
      <c r="D127" s="7"/>
      <c r="E127" s="8"/>
      <c r="F127" s="7"/>
    </row>
    <row r="128" customFormat="false" ht="15" hidden="false" customHeight="false" outlineLevel="0" collapsed="false">
      <c r="A128" s="5" t="n">
        <v>125</v>
      </c>
      <c r="B128" s="7"/>
      <c r="C128" s="7"/>
      <c r="D128" s="7"/>
      <c r="E128" s="8"/>
      <c r="F128" s="7"/>
    </row>
    <row r="129" customFormat="false" ht="15" hidden="false" customHeight="false" outlineLevel="0" collapsed="false">
      <c r="A129" s="5" t="n">
        <v>126</v>
      </c>
      <c r="B129" s="7"/>
      <c r="C129" s="7"/>
      <c r="D129" s="7"/>
      <c r="E129" s="8"/>
      <c r="F129" s="7"/>
    </row>
    <row r="130" customFormat="false" ht="15" hidden="false" customHeight="false" outlineLevel="0" collapsed="false">
      <c r="A130" s="5" t="n">
        <v>127</v>
      </c>
      <c r="B130" s="7"/>
      <c r="C130" s="7"/>
      <c r="D130" s="7"/>
      <c r="E130" s="8"/>
      <c r="F130" s="7"/>
    </row>
    <row r="131" customFormat="false" ht="15" hidden="false" customHeight="false" outlineLevel="0" collapsed="false">
      <c r="A131" s="5" t="n">
        <v>128</v>
      </c>
      <c r="B131" s="7"/>
      <c r="C131" s="7"/>
      <c r="D131" s="7"/>
      <c r="E131" s="8"/>
      <c r="F131" s="7"/>
    </row>
    <row r="132" customFormat="false" ht="15" hidden="false" customHeight="false" outlineLevel="0" collapsed="false">
      <c r="A132" s="5" t="n">
        <v>129</v>
      </c>
      <c r="B132" s="7"/>
      <c r="C132" s="7"/>
      <c r="D132" s="7"/>
      <c r="E132" s="8"/>
      <c r="F132" s="7"/>
    </row>
    <row r="133" customFormat="false" ht="15" hidden="false" customHeight="false" outlineLevel="0" collapsed="false">
      <c r="A133" s="5" t="n">
        <v>130</v>
      </c>
      <c r="B133" s="7"/>
      <c r="C133" s="7"/>
      <c r="D133" s="7"/>
      <c r="E133" s="8"/>
      <c r="F133" s="7"/>
    </row>
  </sheetData>
  <conditionalFormatting sqref="A4:F13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3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228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229</v>
      </c>
      <c r="C4" s="5" t="n">
        <v>44513</v>
      </c>
      <c r="D4" s="5" t="n">
        <v>396750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230</v>
      </c>
      <c r="C5" s="5" t="n">
        <v>9256</v>
      </c>
      <c r="D5" s="5" t="n">
        <v>70213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231</v>
      </c>
      <c r="C6" s="5" t="n">
        <v>1376</v>
      </c>
      <c r="D6" s="5" t="n">
        <v>32877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232</v>
      </c>
      <c r="C7" s="5" t="n">
        <v>1003</v>
      </c>
      <c r="D7" s="5" t="n">
        <v>3170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233</v>
      </c>
      <c r="C8" s="5" t="n">
        <v>988</v>
      </c>
      <c r="D8" s="5" t="n">
        <v>7048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234</v>
      </c>
      <c r="C9" s="5" t="n">
        <v>898</v>
      </c>
      <c r="D9" s="5" t="n">
        <v>8712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235</v>
      </c>
      <c r="C10" s="5" t="n">
        <v>723</v>
      </c>
      <c r="D10" s="5" t="n">
        <v>7995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236</v>
      </c>
      <c r="C11" s="5" t="n">
        <v>602</v>
      </c>
      <c r="D11" s="5" t="n">
        <v>3340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237</v>
      </c>
      <c r="C12" s="5" t="n">
        <v>549</v>
      </c>
      <c r="D12" s="5" t="n">
        <v>6325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238</v>
      </c>
      <c r="C13" s="5" t="n">
        <v>533</v>
      </c>
      <c r="D13" s="5" t="n">
        <v>2695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239</v>
      </c>
      <c r="C14" s="5" t="n">
        <v>423</v>
      </c>
      <c r="D14" s="5" t="n">
        <v>1985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240</v>
      </c>
      <c r="C15" s="5" t="n">
        <v>393</v>
      </c>
      <c r="D15" s="5" t="n">
        <v>6283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241</v>
      </c>
      <c r="C16" s="5" t="n">
        <v>382</v>
      </c>
      <c r="D16" s="5" t="n">
        <v>3659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242</v>
      </c>
      <c r="C17" s="5" t="n">
        <v>363</v>
      </c>
      <c r="D17" s="5" t="n">
        <v>1410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243</v>
      </c>
      <c r="C18" s="5" t="n">
        <v>314</v>
      </c>
      <c r="D18" s="5" t="n">
        <v>9919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244</v>
      </c>
      <c r="C19" s="5" t="n">
        <v>282</v>
      </c>
      <c r="D19" s="5" t="n">
        <v>5197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245</v>
      </c>
      <c r="C20" s="5" t="n">
        <v>280</v>
      </c>
      <c r="D20" s="5" t="n">
        <v>5836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246</v>
      </c>
      <c r="C21" s="5" t="n">
        <v>259</v>
      </c>
      <c r="D21" s="5" t="n">
        <v>1620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247</v>
      </c>
      <c r="C22" s="5" t="n">
        <v>246</v>
      </c>
      <c r="D22" s="5" t="n">
        <v>5977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248</v>
      </c>
      <c r="C23" s="5" t="n">
        <v>209</v>
      </c>
      <c r="D23" s="5" t="n">
        <v>3609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249</v>
      </c>
      <c r="C24" s="5" t="n">
        <v>186</v>
      </c>
      <c r="D24" s="5" t="n">
        <v>1072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250</v>
      </c>
      <c r="C25" s="5" t="n">
        <v>123</v>
      </c>
      <c r="D25" s="5" t="n">
        <v>1649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251</v>
      </c>
      <c r="C26" s="5" t="n">
        <v>112</v>
      </c>
      <c r="D26" s="5" t="n">
        <v>457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252</v>
      </c>
      <c r="C27" s="5" t="n">
        <v>111</v>
      </c>
      <c r="D27" s="5" t="n">
        <v>548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253</v>
      </c>
      <c r="C28" s="5" t="n">
        <v>104</v>
      </c>
      <c r="D28" s="5" t="n">
        <v>2190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254</v>
      </c>
      <c r="C29" s="5" t="n">
        <v>76</v>
      </c>
      <c r="D29" s="5" t="n">
        <v>123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255</v>
      </c>
      <c r="C30" s="5" t="n">
        <v>75</v>
      </c>
      <c r="D30" s="5" t="n">
        <v>135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256</v>
      </c>
      <c r="C31" s="5" t="n">
        <v>71</v>
      </c>
      <c r="D31" s="5" t="n">
        <v>340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257</v>
      </c>
      <c r="C32" s="5" t="n">
        <v>62</v>
      </c>
      <c r="D32" s="5" t="n">
        <v>853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258</v>
      </c>
      <c r="C33" s="5" t="n">
        <v>60</v>
      </c>
      <c r="D33" s="5" t="n">
        <v>1043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259</v>
      </c>
      <c r="C34" s="5" t="n">
        <v>51</v>
      </c>
      <c r="D34" s="5" t="n">
        <v>725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260</v>
      </c>
      <c r="C35" s="5" t="n">
        <v>47</v>
      </c>
      <c r="D35" s="5" t="n">
        <v>146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261</v>
      </c>
      <c r="C36" s="5" t="n">
        <v>45</v>
      </c>
      <c r="D36" s="5" t="n">
        <v>229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262</v>
      </c>
      <c r="C37" s="5" t="n">
        <v>42</v>
      </c>
      <c r="D37" s="5" t="n">
        <v>249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263</v>
      </c>
      <c r="C38" s="5" t="n">
        <v>41</v>
      </c>
      <c r="D38" s="5" t="n">
        <v>602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264</v>
      </c>
      <c r="C39" s="5" t="n">
        <v>41</v>
      </c>
      <c r="D39" s="5" t="n">
        <v>273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265</v>
      </c>
      <c r="C40" s="5" t="n">
        <v>38</v>
      </c>
      <c r="D40" s="5" t="n">
        <v>410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266</v>
      </c>
      <c r="C41" s="5" t="n">
        <v>37</v>
      </c>
      <c r="D41" s="5" t="n">
        <v>89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267</v>
      </c>
      <c r="C42" s="5" t="n">
        <v>34</v>
      </c>
      <c r="D42" s="5" t="n">
        <v>663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268</v>
      </c>
      <c r="C43" s="5" t="n">
        <v>33</v>
      </c>
      <c r="D43" s="5" t="n">
        <v>224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269</v>
      </c>
      <c r="C44" s="5" t="n">
        <v>31</v>
      </c>
      <c r="D44" s="5" t="n">
        <v>77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270</v>
      </c>
      <c r="C45" s="5" t="n">
        <v>30</v>
      </c>
      <c r="D45" s="5" t="n">
        <v>1229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271</v>
      </c>
      <c r="C46" s="5" t="n">
        <v>30</v>
      </c>
      <c r="D46" s="5" t="n">
        <v>15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272</v>
      </c>
      <c r="C47" s="5" t="n">
        <v>29</v>
      </c>
      <c r="D47" s="5" t="n">
        <v>180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273</v>
      </c>
      <c r="C48" s="5" t="n">
        <v>24</v>
      </c>
      <c r="D48" s="5" t="n">
        <v>306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274</v>
      </c>
      <c r="C49" s="5" t="n">
        <v>24</v>
      </c>
      <c r="D49" s="5" t="n">
        <v>209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275</v>
      </c>
      <c r="C50" s="5" t="n">
        <v>23</v>
      </c>
      <c r="D50" s="5" t="n">
        <v>131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276</v>
      </c>
      <c r="C51" s="5" t="n">
        <v>23</v>
      </c>
      <c r="D51" s="5" t="n">
        <v>71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277</v>
      </c>
      <c r="C52" s="5" t="n">
        <v>22</v>
      </c>
      <c r="D52" s="5" t="n">
        <v>247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278</v>
      </c>
      <c r="C53" s="5" t="n">
        <v>21</v>
      </c>
      <c r="D53" s="5" t="n">
        <v>394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279</v>
      </c>
      <c r="C54" s="5" t="n">
        <v>20</v>
      </c>
      <c r="D54" s="5" t="n">
        <v>291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280</v>
      </c>
      <c r="C55" s="5" t="n">
        <v>20</v>
      </c>
      <c r="D55" s="5" t="n">
        <v>74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281</v>
      </c>
      <c r="C56" s="5" t="n">
        <v>19</v>
      </c>
      <c r="D56" s="5" t="n">
        <v>180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282</v>
      </c>
      <c r="C57" s="5" t="n">
        <v>18</v>
      </c>
      <c r="D57" s="5" t="n">
        <v>2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283</v>
      </c>
      <c r="C58" s="5" t="n">
        <v>17</v>
      </c>
      <c r="D58" s="5" t="n">
        <v>662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284</v>
      </c>
      <c r="C59" s="5" t="n">
        <v>16</v>
      </c>
      <c r="D59" s="5" t="n">
        <v>112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285</v>
      </c>
      <c r="C60" s="5" t="n">
        <v>16</v>
      </c>
      <c r="D60" s="5" t="n">
        <v>82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286</v>
      </c>
      <c r="C61" s="5" t="n">
        <v>16</v>
      </c>
      <c r="D61" s="5" t="n">
        <v>34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287</v>
      </c>
      <c r="C62" s="5" t="n">
        <v>15</v>
      </c>
      <c r="D62" s="5" t="n">
        <v>313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288</v>
      </c>
      <c r="C63" s="5" t="n">
        <v>15</v>
      </c>
      <c r="D63" s="5" t="n">
        <v>53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289</v>
      </c>
      <c r="C64" s="5" t="n">
        <v>13</v>
      </c>
      <c r="D64" s="5" t="n">
        <v>14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290</v>
      </c>
      <c r="C65" s="5" t="n">
        <v>12</v>
      </c>
      <c r="D65" s="5" t="n">
        <v>34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291</v>
      </c>
      <c r="C66" s="5" t="n">
        <v>12</v>
      </c>
      <c r="D66" s="5" t="n">
        <v>16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292</v>
      </c>
      <c r="C67" s="5" t="n">
        <v>11</v>
      </c>
      <c r="D67" s="5" t="n">
        <v>124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293</v>
      </c>
      <c r="C68" s="5" t="n">
        <v>11</v>
      </c>
      <c r="D68" s="5" t="n">
        <v>116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294</v>
      </c>
      <c r="C69" s="5" t="n">
        <v>10</v>
      </c>
      <c r="D69" s="5" t="n">
        <v>129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295</v>
      </c>
      <c r="C70" s="5" t="n">
        <v>10</v>
      </c>
      <c r="D70" s="5" t="n">
        <v>85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296</v>
      </c>
      <c r="C71" s="5" t="n">
        <v>10</v>
      </c>
      <c r="D71" s="5" t="n">
        <v>17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297</v>
      </c>
      <c r="C72" s="5" t="n">
        <v>10</v>
      </c>
      <c r="D72" s="5" t="n">
        <v>13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298</v>
      </c>
      <c r="C73" s="5" t="n">
        <v>9</v>
      </c>
      <c r="D73" s="5" t="n">
        <v>115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299</v>
      </c>
      <c r="C74" s="5" t="n">
        <v>9</v>
      </c>
      <c r="D74" s="5" t="n">
        <v>65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300</v>
      </c>
      <c r="C75" s="5" t="n">
        <v>8</v>
      </c>
      <c r="D75" s="5" t="n">
        <v>66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301</v>
      </c>
      <c r="C76" s="5" t="n">
        <v>8</v>
      </c>
      <c r="D76" s="5" t="n">
        <v>57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302</v>
      </c>
      <c r="C77" s="5" t="n">
        <v>8</v>
      </c>
      <c r="D77" s="5" t="n">
        <v>33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303</v>
      </c>
      <c r="C78" s="5" t="n">
        <v>7</v>
      </c>
      <c r="D78" s="5" t="n">
        <v>233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304</v>
      </c>
      <c r="C79" s="5" t="n">
        <v>7</v>
      </c>
      <c r="D79" s="5" t="n">
        <v>115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305</v>
      </c>
      <c r="C80" s="5" t="n">
        <v>7</v>
      </c>
      <c r="D80" s="5" t="n">
        <v>67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306</v>
      </c>
      <c r="C81" s="5" t="n">
        <v>6</v>
      </c>
      <c r="D81" s="5" t="n">
        <v>39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307</v>
      </c>
      <c r="C82" s="5" t="n">
        <v>5</v>
      </c>
      <c r="D82" s="5" t="n">
        <v>75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308</v>
      </c>
      <c r="C83" s="5" t="n">
        <v>5</v>
      </c>
      <c r="D83" s="5" t="n">
        <v>22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309</v>
      </c>
      <c r="C84" s="5" t="n">
        <v>5</v>
      </c>
      <c r="D84" s="5" t="n">
        <v>20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7"/>
      <c r="C85" s="7"/>
      <c r="D85" s="7"/>
      <c r="E85" s="8"/>
      <c r="F85" s="7"/>
    </row>
    <row r="86" customFormat="false" ht="15" hidden="false" customHeight="false" outlineLevel="0" collapsed="false">
      <c r="A86" s="5" t="n">
        <v>83</v>
      </c>
      <c r="B86" s="7"/>
      <c r="C86" s="7"/>
      <c r="D86" s="7"/>
      <c r="E86" s="8"/>
      <c r="F86" s="7"/>
    </row>
    <row r="87" customFormat="false" ht="15" hidden="false" customHeight="false" outlineLevel="0" collapsed="false">
      <c r="A87" s="5" t="n">
        <v>84</v>
      </c>
      <c r="B87" s="7"/>
      <c r="C87" s="7"/>
      <c r="D87" s="7"/>
      <c r="E87" s="8"/>
      <c r="F87" s="7"/>
    </row>
    <row r="88" customFormat="false" ht="15" hidden="false" customHeight="false" outlineLevel="0" collapsed="false">
      <c r="A88" s="5" t="n">
        <v>85</v>
      </c>
      <c r="B88" s="7"/>
      <c r="C88" s="7"/>
      <c r="D88" s="7"/>
      <c r="E88" s="8"/>
      <c r="F88" s="7"/>
    </row>
    <row r="89" customFormat="false" ht="15" hidden="false" customHeight="false" outlineLevel="0" collapsed="false">
      <c r="A89" s="5" t="n">
        <v>86</v>
      </c>
      <c r="B89" s="7"/>
      <c r="C89" s="7"/>
      <c r="D89" s="7"/>
      <c r="E89" s="8"/>
      <c r="F89" s="7"/>
    </row>
    <row r="90" customFormat="false" ht="15" hidden="false" customHeight="false" outlineLevel="0" collapsed="false">
      <c r="A90" s="5" t="n">
        <v>87</v>
      </c>
      <c r="B90" s="7"/>
      <c r="C90" s="7"/>
      <c r="D90" s="7"/>
      <c r="E90" s="8"/>
      <c r="F90" s="7"/>
    </row>
    <row r="91" customFormat="false" ht="15" hidden="false" customHeight="false" outlineLevel="0" collapsed="false">
      <c r="A91" s="5" t="n">
        <v>88</v>
      </c>
      <c r="B91" s="7"/>
      <c r="C91" s="7"/>
      <c r="D91" s="7"/>
      <c r="E91" s="8"/>
      <c r="F91" s="7"/>
    </row>
    <row r="92" customFormat="false" ht="15" hidden="false" customHeight="false" outlineLevel="0" collapsed="false">
      <c r="A92" s="5" t="n">
        <v>89</v>
      </c>
      <c r="B92" s="7"/>
      <c r="C92" s="7"/>
      <c r="D92" s="7"/>
      <c r="E92" s="8"/>
      <c r="F92" s="7"/>
    </row>
    <row r="93" customFormat="false" ht="15" hidden="false" customHeight="false" outlineLevel="0" collapsed="false">
      <c r="A93" s="5" t="n">
        <v>90</v>
      </c>
      <c r="B93" s="7"/>
      <c r="C93" s="7"/>
      <c r="D93" s="7"/>
      <c r="E93" s="8"/>
      <c r="F93" s="7"/>
    </row>
    <row r="94" customFormat="false" ht="15" hidden="false" customHeight="false" outlineLevel="0" collapsed="false">
      <c r="A94" s="5" t="n">
        <v>91</v>
      </c>
      <c r="B94" s="7"/>
      <c r="C94" s="7"/>
      <c r="D94" s="7"/>
      <c r="E94" s="8"/>
      <c r="F94" s="7"/>
    </row>
    <row r="95" customFormat="false" ht="15" hidden="false" customHeight="false" outlineLevel="0" collapsed="false">
      <c r="A95" s="5" t="n">
        <v>92</v>
      </c>
      <c r="B95" s="7"/>
      <c r="C95" s="7"/>
      <c r="D95" s="7"/>
      <c r="E95" s="8"/>
      <c r="F95" s="7"/>
    </row>
    <row r="96" customFormat="false" ht="15" hidden="false" customHeight="false" outlineLevel="0" collapsed="false">
      <c r="A96" s="5" t="n">
        <v>93</v>
      </c>
      <c r="B96" s="7"/>
      <c r="C96" s="7"/>
      <c r="D96" s="7"/>
      <c r="E96" s="8"/>
      <c r="F96" s="7"/>
    </row>
    <row r="97" customFormat="false" ht="15" hidden="false" customHeight="false" outlineLevel="0" collapsed="false">
      <c r="A97" s="5" t="n">
        <v>94</v>
      </c>
      <c r="B97" s="7"/>
      <c r="C97" s="7"/>
      <c r="D97" s="7"/>
      <c r="E97" s="8"/>
      <c r="F97" s="7"/>
    </row>
    <row r="98" customFormat="false" ht="15" hidden="false" customHeight="false" outlineLevel="0" collapsed="false">
      <c r="A98" s="5" t="n">
        <v>95</v>
      </c>
      <c r="B98" s="7"/>
      <c r="C98" s="7"/>
      <c r="D98" s="7"/>
      <c r="E98" s="8"/>
      <c r="F98" s="7"/>
    </row>
    <row r="99" customFormat="false" ht="15" hidden="false" customHeight="false" outlineLevel="0" collapsed="false">
      <c r="A99" s="5" t="n">
        <v>96</v>
      </c>
      <c r="B99" s="7"/>
      <c r="C99" s="7"/>
      <c r="D99" s="7"/>
      <c r="E99" s="8"/>
      <c r="F99" s="7"/>
    </row>
    <row r="100" customFormat="false" ht="15" hidden="false" customHeight="false" outlineLevel="0" collapsed="false">
      <c r="A100" s="5" t="n">
        <v>97</v>
      </c>
      <c r="B100" s="7"/>
      <c r="C100" s="7"/>
      <c r="D100" s="7"/>
      <c r="E100" s="8"/>
      <c r="F100" s="7"/>
    </row>
    <row r="101" customFormat="false" ht="15" hidden="false" customHeight="false" outlineLevel="0" collapsed="false">
      <c r="A101" s="5" t="n">
        <v>98</v>
      </c>
      <c r="B101" s="7"/>
      <c r="C101" s="7"/>
      <c r="D101" s="7"/>
      <c r="E101" s="8"/>
      <c r="F101" s="7"/>
    </row>
    <row r="102" customFormat="false" ht="15" hidden="false" customHeight="false" outlineLevel="0" collapsed="false">
      <c r="A102" s="5" t="n">
        <v>99</v>
      </c>
      <c r="B102" s="7"/>
      <c r="C102" s="7"/>
      <c r="D102" s="7"/>
      <c r="E102" s="8"/>
      <c r="F102" s="7"/>
    </row>
    <row r="103" customFormat="false" ht="15" hidden="false" customHeight="false" outlineLevel="0" collapsed="false">
      <c r="A103" s="5" t="n">
        <v>100</v>
      </c>
      <c r="B103" s="7"/>
      <c r="C103" s="7"/>
      <c r="D103" s="7"/>
      <c r="E103" s="8"/>
      <c r="F103" s="7"/>
    </row>
    <row r="104" customFormat="false" ht="15" hidden="false" customHeight="false" outlineLevel="0" collapsed="false">
      <c r="A104" s="5" t="n">
        <v>101</v>
      </c>
      <c r="B104" s="7"/>
      <c r="C104" s="7"/>
      <c r="D104" s="7"/>
      <c r="E104" s="8"/>
      <c r="F104" s="7"/>
    </row>
  </sheetData>
  <conditionalFormatting sqref="A4:F104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04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310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311</v>
      </c>
      <c r="C4" s="5" t="n">
        <v>45895</v>
      </c>
      <c r="D4" s="5" t="n">
        <v>451244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312</v>
      </c>
      <c r="C5" s="5" t="n">
        <v>37418</v>
      </c>
      <c r="D5" s="5" t="n">
        <v>315308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313</v>
      </c>
      <c r="C6" s="5" t="n">
        <v>9155</v>
      </c>
      <c r="D6" s="5" t="n">
        <v>111366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314</v>
      </c>
      <c r="C7" s="5" t="n">
        <v>8227</v>
      </c>
      <c r="D7" s="5" t="n">
        <v>85251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315</v>
      </c>
      <c r="C8" s="5" t="n">
        <v>7200</v>
      </c>
      <c r="D8" s="5" t="n">
        <v>39627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316</v>
      </c>
      <c r="C9" s="5" t="n">
        <v>5855</v>
      </c>
      <c r="D9" s="5" t="n">
        <v>34129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317</v>
      </c>
      <c r="C10" s="5" t="n">
        <v>4929</v>
      </c>
      <c r="D10" s="5" t="n">
        <v>44132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318</v>
      </c>
      <c r="C11" s="5" t="n">
        <v>4261</v>
      </c>
      <c r="D11" s="5" t="n">
        <v>45447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319</v>
      </c>
      <c r="C12" s="5" t="n">
        <v>4193</v>
      </c>
      <c r="D12" s="5" t="n">
        <v>46168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320</v>
      </c>
      <c r="C13" s="5" t="n">
        <v>3811</v>
      </c>
      <c r="D13" s="5" t="n">
        <v>24251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321</v>
      </c>
      <c r="C14" s="5" t="n">
        <v>3492</v>
      </c>
      <c r="D14" s="5" t="n">
        <v>12980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322</v>
      </c>
      <c r="C15" s="5" t="n">
        <v>3472</v>
      </c>
      <c r="D15" s="5" t="n">
        <v>59277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323</v>
      </c>
      <c r="C16" s="5" t="n">
        <v>3191</v>
      </c>
      <c r="D16" s="5" t="n">
        <v>5904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324</v>
      </c>
      <c r="C17" s="5" t="n">
        <v>3097</v>
      </c>
      <c r="D17" s="5" t="n">
        <v>44537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325</v>
      </c>
      <c r="C18" s="5" t="n">
        <v>2891</v>
      </c>
      <c r="D18" s="5" t="n">
        <v>29140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326</v>
      </c>
      <c r="C19" s="5" t="n">
        <v>2448</v>
      </c>
      <c r="D19" s="5" t="n">
        <v>10420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327</v>
      </c>
      <c r="C20" s="5" t="n">
        <v>2337</v>
      </c>
      <c r="D20" s="5" t="n">
        <v>17959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328</v>
      </c>
      <c r="C21" s="5" t="n">
        <v>2171</v>
      </c>
      <c r="D21" s="5" t="n">
        <v>17548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329</v>
      </c>
      <c r="C22" s="5" t="n">
        <v>2163</v>
      </c>
      <c r="D22" s="5" t="n">
        <v>12075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330</v>
      </c>
      <c r="C23" s="5" t="n">
        <v>2080</v>
      </c>
      <c r="D23" s="5" t="n">
        <v>21329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331</v>
      </c>
      <c r="C24" s="5" t="n">
        <v>2024</v>
      </c>
      <c r="D24" s="5" t="n">
        <v>12461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332</v>
      </c>
      <c r="C25" s="5" t="n">
        <v>1754</v>
      </c>
      <c r="D25" s="5" t="n">
        <v>19330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333</v>
      </c>
      <c r="C26" s="5" t="n">
        <v>1430</v>
      </c>
      <c r="D26" s="5" t="n">
        <v>3752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334</v>
      </c>
      <c r="C27" s="5" t="n">
        <v>1388</v>
      </c>
      <c r="D27" s="5" t="n">
        <v>41108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335</v>
      </c>
      <c r="C28" s="5" t="n">
        <v>1344</v>
      </c>
      <c r="D28" s="5" t="n">
        <v>34266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336</v>
      </c>
      <c r="C29" s="5" t="n">
        <v>1337</v>
      </c>
      <c r="D29" s="5" t="n">
        <v>28905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337</v>
      </c>
      <c r="C30" s="5" t="n">
        <v>1295</v>
      </c>
      <c r="D30" s="5" t="n">
        <v>12406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338</v>
      </c>
      <c r="C31" s="5" t="n">
        <v>1293</v>
      </c>
      <c r="D31" s="5" t="n">
        <v>4111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339</v>
      </c>
      <c r="C32" s="5" t="n">
        <v>1247</v>
      </c>
      <c r="D32" s="5" t="n">
        <v>11407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340</v>
      </c>
      <c r="C33" s="5" t="n">
        <v>1090</v>
      </c>
      <c r="D33" s="5" t="n">
        <v>5752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341</v>
      </c>
      <c r="C34" s="5" t="n">
        <v>1083</v>
      </c>
      <c r="D34" s="5" t="n">
        <v>23925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342</v>
      </c>
      <c r="C35" s="5" t="n">
        <v>1081</v>
      </c>
      <c r="D35" s="5" t="n">
        <v>3990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343</v>
      </c>
      <c r="C36" s="5" t="n">
        <v>1058</v>
      </c>
      <c r="D36" s="5" t="n">
        <v>6348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344</v>
      </c>
      <c r="C37" s="5" t="n">
        <v>1052</v>
      </c>
      <c r="D37" s="5" t="n">
        <v>13560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345</v>
      </c>
      <c r="C38" s="5" t="n">
        <v>1036</v>
      </c>
      <c r="D38" s="5" t="n">
        <v>2133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346</v>
      </c>
      <c r="C39" s="5" t="n">
        <v>1013</v>
      </c>
      <c r="D39" s="5" t="n">
        <v>4902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347</v>
      </c>
      <c r="C40" s="5" t="n">
        <v>896</v>
      </c>
      <c r="D40" s="5" t="n">
        <v>3317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348</v>
      </c>
      <c r="C41" s="5" t="n">
        <v>859</v>
      </c>
      <c r="D41" s="5" t="n">
        <v>5404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349</v>
      </c>
      <c r="C42" s="5" t="n">
        <v>801</v>
      </c>
      <c r="D42" s="5" t="n">
        <v>31902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350</v>
      </c>
      <c r="C43" s="5" t="n">
        <v>778</v>
      </c>
      <c r="D43" s="5" t="n">
        <v>5682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351</v>
      </c>
      <c r="C44" s="5" t="n">
        <v>737</v>
      </c>
      <c r="D44" s="5" t="n">
        <v>5304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352</v>
      </c>
      <c r="C45" s="5" t="n">
        <v>662</v>
      </c>
      <c r="D45" s="5" t="n">
        <v>5378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353</v>
      </c>
      <c r="C46" s="5" t="n">
        <v>662</v>
      </c>
      <c r="D46" s="5" t="n">
        <v>2652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354</v>
      </c>
      <c r="C47" s="5" t="n">
        <v>629</v>
      </c>
      <c r="D47" s="5" t="n">
        <v>1831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355</v>
      </c>
      <c r="C48" s="5" t="n">
        <v>561</v>
      </c>
      <c r="D48" s="5" t="n">
        <v>8433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356</v>
      </c>
      <c r="C49" s="5" t="n">
        <v>498</v>
      </c>
      <c r="D49" s="5" t="n">
        <v>4183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357</v>
      </c>
      <c r="C50" s="5" t="n">
        <v>491</v>
      </c>
      <c r="D50" s="5" t="n">
        <v>5921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358</v>
      </c>
      <c r="C51" s="5" t="n">
        <v>469</v>
      </c>
      <c r="D51" s="5" t="n">
        <v>2937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359</v>
      </c>
      <c r="C52" s="5" t="n">
        <v>464</v>
      </c>
      <c r="D52" s="5" t="n">
        <v>4591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360</v>
      </c>
      <c r="C53" s="5" t="n">
        <v>455</v>
      </c>
      <c r="D53" s="5" t="n">
        <v>6586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361</v>
      </c>
      <c r="C54" s="5" t="n">
        <v>447</v>
      </c>
      <c r="D54" s="5" t="n">
        <v>756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362</v>
      </c>
      <c r="C55" s="5" t="n">
        <v>446</v>
      </c>
      <c r="D55" s="5" t="n">
        <v>8387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363</v>
      </c>
      <c r="C56" s="5" t="n">
        <v>433</v>
      </c>
      <c r="D56" s="5" t="n">
        <v>2692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364</v>
      </c>
      <c r="C57" s="5" t="n">
        <v>429</v>
      </c>
      <c r="D57" s="5" t="n">
        <v>379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365</v>
      </c>
      <c r="C58" s="5" t="n">
        <v>423</v>
      </c>
      <c r="D58" s="5" t="n">
        <v>3104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366</v>
      </c>
      <c r="C59" s="5" t="n">
        <v>405</v>
      </c>
      <c r="D59" s="5" t="n">
        <v>3440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367</v>
      </c>
      <c r="C60" s="5" t="n">
        <v>403</v>
      </c>
      <c r="D60" s="5" t="n">
        <v>2091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368</v>
      </c>
      <c r="C61" s="5" t="n">
        <v>365</v>
      </c>
      <c r="D61" s="5" t="n">
        <v>4789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369</v>
      </c>
      <c r="C62" s="5" t="n">
        <v>347</v>
      </c>
      <c r="D62" s="5" t="n">
        <v>3302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370</v>
      </c>
      <c r="C63" s="5" t="n">
        <v>339</v>
      </c>
      <c r="D63" s="5" t="n">
        <v>2177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371</v>
      </c>
      <c r="C64" s="5" t="n">
        <v>331</v>
      </c>
      <c r="D64" s="5" t="n">
        <v>2358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372</v>
      </c>
      <c r="C65" s="5" t="n">
        <v>330</v>
      </c>
      <c r="D65" s="5" t="n">
        <v>1141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373</v>
      </c>
      <c r="C66" s="5" t="n">
        <v>325</v>
      </c>
      <c r="D66" s="5" t="n">
        <v>1317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374</v>
      </c>
      <c r="C67" s="5" t="n">
        <v>322</v>
      </c>
      <c r="D67" s="5" t="n">
        <v>446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375</v>
      </c>
      <c r="C68" s="5" t="n">
        <v>316</v>
      </c>
      <c r="D68" s="5" t="n">
        <v>2580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376</v>
      </c>
      <c r="C69" s="5" t="n">
        <v>311</v>
      </c>
      <c r="D69" s="5" t="n">
        <v>1754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377</v>
      </c>
      <c r="C70" s="5" t="n">
        <v>305</v>
      </c>
      <c r="D70" s="5" t="n">
        <v>4490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378</v>
      </c>
      <c r="C71" s="5" t="n">
        <v>297</v>
      </c>
      <c r="D71" s="5" t="n">
        <v>845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379</v>
      </c>
      <c r="C72" s="5" t="n">
        <v>282</v>
      </c>
      <c r="D72" s="5" t="n">
        <v>830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380</v>
      </c>
      <c r="C73" s="5" t="n">
        <v>275</v>
      </c>
      <c r="D73" s="5" t="n">
        <v>7828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381</v>
      </c>
      <c r="C74" s="5" t="n">
        <v>261</v>
      </c>
      <c r="D74" s="5" t="n">
        <v>3238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382</v>
      </c>
      <c r="C75" s="5" t="n">
        <v>259</v>
      </c>
      <c r="D75" s="5" t="n">
        <v>3346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383</v>
      </c>
      <c r="C76" s="5" t="n">
        <v>255</v>
      </c>
      <c r="D76" s="5" t="n">
        <v>1905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384</v>
      </c>
      <c r="C77" s="5" t="n">
        <v>254</v>
      </c>
      <c r="D77" s="5" t="n">
        <v>1887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385</v>
      </c>
      <c r="C78" s="5" t="n">
        <v>248</v>
      </c>
      <c r="D78" s="5" t="n">
        <v>468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386</v>
      </c>
      <c r="C79" s="5" t="n">
        <v>241</v>
      </c>
      <c r="D79" s="5" t="n">
        <v>2734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387</v>
      </c>
      <c r="C80" s="5" t="n">
        <v>239</v>
      </c>
      <c r="D80" s="5" t="n">
        <v>3018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388</v>
      </c>
      <c r="C81" s="5" t="n">
        <v>236</v>
      </c>
      <c r="D81" s="5" t="n">
        <v>781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389</v>
      </c>
      <c r="C82" s="5" t="n">
        <v>235</v>
      </c>
      <c r="D82" s="5" t="n">
        <v>0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390</v>
      </c>
      <c r="C83" s="5" t="n">
        <v>231</v>
      </c>
      <c r="D83" s="5" t="n">
        <v>921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391</v>
      </c>
      <c r="C84" s="5" t="n">
        <v>216</v>
      </c>
      <c r="D84" s="5" t="n">
        <v>1970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392</v>
      </c>
      <c r="C85" s="5" t="n">
        <v>204</v>
      </c>
      <c r="D85" s="5" t="n">
        <v>9246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393</v>
      </c>
      <c r="C86" s="5" t="n">
        <v>195</v>
      </c>
      <c r="D86" s="5" t="n">
        <v>3030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394</v>
      </c>
      <c r="C87" s="5" t="n">
        <v>193</v>
      </c>
      <c r="D87" s="5" t="n">
        <v>1417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395</v>
      </c>
      <c r="C88" s="5" t="n">
        <v>192</v>
      </c>
      <c r="D88" s="5" t="n">
        <v>34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396</v>
      </c>
      <c r="C89" s="5" t="n">
        <v>190</v>
      </c>
      <c r="D89" s="5" t="n">
        <v>529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397</v>
      </c>
      <c r="C90" s="5" t="n">
        <v>189</v>
      </c>
      <c r="D90" s="5" t="n">
        <v>1030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398</v>
      </c>
      <c r="C91" s="5" t="n">
        <v>187</v>
      </c>
      <c r="D91" s="5" t="n">
        <v>2846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399</v>
      </c>
      <c r="C92" s="5" t="n">
        <v>179</v>
      </c>
      <c r="D92" s="5" t="n">
        <v>1341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400</v>
      </c>
      <c r="C93" s="5" t="n">
        <v>177</v>
      </c>
      <c r="D93" s="5" t="n">
        <v>178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401</v>
      </c>
      <c r="C94" s="5" t="n">
        <v>174</v>
      </c>
      <c r="D94" s="5" t="n">
        <v>862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402</v>
      </c>
      <c r="C95" s="5" t="n">
        <v>171</v>
      </c>
      <c r="D95" s="5" t="n">
        <v>1583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403</v>
      </c>
      <c r="C96" s="5" t="n">
        <v>170</v>
      </c>
      <c r="D96" s="5" t="n">
        <v>1322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404</v>
      </c>
      <c r="C97" s="5" t="n">
        <v>163</v>
      </c>
      <c r="D97" s="5" t="n">
        <v>384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405</v>
      </c>
      <c r="C98" s="5" t="n">
        <v>160</v>
      </c>
      <c r="D98" s="5" t="n">
        <v>1792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406</v>
      </c>
      <c r="C99" s="5" t="n">
        <v>159</v>
      </c>
      <c r="D99" s="5" t="n">
        <v>790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407</v>
      </c>
      <c r="C100" s="5" t="n">
        <v>157</v>
      </c>
      <c r="D100" s="5" t="n">
        <v>1202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408</v>
      </c>
      <c r="C101" s="5" t="n">
        <v>155</v>
      </c>
      <c r="D101" s="5" t="n">
        <v>1300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409</v>
      </c>
      <c r="C102" s="5" t="n">
        <v>155</v>
      </c>
      <c r="D102" s="5" t="n">
        <v>792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410</v>
      </c>
      <c r="C103" s="5" t="n">
        <v>154</v>
      </c>
      <c r="D103" s="5" t="n">
        <v>2235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411</v>
      </c>
      <c r="C104" s="5" t="n">
        <v>148</v>
      </c>
      <c r="D104" s="5" t="n">
        <v>2686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412</v>
      </c>
      <c r="C105" s="5" t="n">
        <v>147</v>
      </c>
      <c r="D105" s="5" t="n">
        <v>1335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413</v>
      </c>
      <c r="C106" s="5" t="n">
        <v>140</v>
      </c>
      <c r="D106" s="5" t="n">
        <v>226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414</v>
      </c>
      <c r="C107" s="5" t="n">
        <v>136</v>
      </c>
      <c r="D107" s="5" t="n">
        <v>2750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415</v>
      </c>
      <c r="C108" s="5" t="n">
        <v>133</v>
      </c>
      <c r="D108" s="5" t="n">
        <v>655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416</v>
      </c>
      <c r="C109" s="5" t="n">
        <v>132</v>
      </c>
      <c r="D109" s="5" t="n">
        <v>749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417</v>
      </c>
      <c r="C110" s="5" t="n">
        <v>127</v>
      </c>
      <c r="D110" s="5" t="n">
        <v>335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418</v>
      </c>
      <c r="C111" s="5" t="n">
        <v>125</v>
      </c>
      <c r="D111" s="5" t="n">
        <v>893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419</v>
      </c>
      <c r="C112" s="5" t="n">
        <v>123</v>
      </c>
      <c r="D112" s="5" t="n">
        <v>1451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420</v>
      </c>
      <c r="C113" s="5" t="n">
        <v>122</v>
      </c>
      <c r="D113" s="5" t="n">
        <v>335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421</v>
      </c>
      <c r="C114" s="5" t="n">
        <v>121</v>
      </c>
      <c r="D114" s="5" t="n">
        <v>1149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422</v>
      </c>
      <c r="C115" s="5" t="n">
        <v>120</v>
      </c>
      <c r="D115" s="5" t="n">
        <v>8205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423</v>
      </c>
      <c r="C116" s="5" t="n">
        <v>119</v>
      </c>
      <c r="D116" s="5" t="n">
        <v>404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424</v>
      </c>
      <c r="C117" s="5" t="n">
        <v>117</v>
      </c>
      <c r="D117" s="5" t="n">
        <v>1337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425</v>
      </c>
      <c r="C118" s="5" t="n">
        <v>113</v>
      </c>
      <c r="D118" s="5" t="n">
        <v>327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426</v>
      </c>
      <c r="C119" s="5" t="n">
        <v>112</v>
      </c>
      <c r="D119" s="5" t="n">
        <v>578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427</v>
      </c>
      <c r="C120" s="5" t="n">
        <v>110</v>
      </c>
      <c r="D120" s="5" t="n">
        <v>1353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428</v>
      </c>
      <c r="C121" s="5" t="n">
        <v>110</v>
      </c>
      <c r="D121" s="5" t="n">
        <v>365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429</v>
      </c>
      <c r="C122" s="5" t="n">
        <v>109</v>
      </c>
      <c r="D122" s="5" t="n">
        <v>1468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430</v>
      </c>
      <c r="C123" s="5" t="n">
        <v>107</v>
      </c>
      <c r="D123" s="5" t="n">
        <v>409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431</v>
      </c>
      <c r="C124" s="5" t="n">
        <v>106</v>
      </c>
      <c r="D124" s="5" t="n">
        <v>2403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432</v>
      </c>
      <c r="C125" s="5" t="n">
        <v>106</v>
      </c>
      <c r="D125" s="5" t="n">
        <v>595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433</v>
      </c>
      <c r="C126" s="5" t="n">
        <v>105</v>
      </c>
      <c r="D126" s="5" t="n">
        <v>984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434</v>
      </c>
      <c r="C127" s="5" t="n">
        <v>101</v>
      </c>
      <c r="D127" s="5" t="n">
        <v>175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435</v>
      </c>
      <c r="C128" s="5" t="n">
        <v>100</v>
      </c>
      <c r="D128" s="5" t="n">
        <v>765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436</v>
      </c>
      <c r="C129" s="5" t="n">
        <v>99</v>
      </c>
      <c r="D129" s="5" t="n">
        <v>872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437</v>
      </c>
      <c r="C130" s="5" t="n">
        <v>94</v>
      </c>
      <c r="D130" s="5" t="n">
        <v>638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438</v>
      </c>
      <c r="C131" s="5" t="n">
        <v>93</v>
      </c>
      <c r="D131" s="5" t="n">
        <v>2896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439</v>
      </c>
      <c r="C132" s="5" t="n">
        <v>93</v>
      </c>
      <c r="D132" s="5" t="n">
        <v>543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440</v>
      </c>
      <c r="C133" s="5" t="n">
        <v>92</v>
      </c>
      <c r="D133" s="5" t="n">
        <v>463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441</v>
      </c>
      <c r="C134" s="5" t="n">
        <v>85</v>
      </c>
      <c r="D134" s="5" t="n">
        <v>706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442</v>
      </c>
      <c r="C135" s="5" t="n">
        <v>81</v>
      </c>
      <c r="D135" s="5" t="n">
        <v>785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443</v>
      </c>
      <c r="C136" s="5" t="n">
        <v>81</v>
      </c>
      <c r="D136" s="5" t="n">
        <v>698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444</v>
      </c>
      <c r="C137" s="5" t="n">
        <v>80</v>
      </c>
      <c r="D137" s="5" t="n">
        <v>209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445</v>
      </c>
      <c r="C138" s="5" t="n">
        <v>79</v>
      </c>
      <c r="D138" s="5" t="n">
        <v>659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446</v>
      </c>
      <c r="C139" s="5" t="n">
        <v>78</v>
      </c>
      <c r="D139" s="5" t="n">
        <v>442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447</v>
      </c>
      <c r="C140" s="5" t="n">
        <v>76</v>
      </c>
      <c r="D140" s="5" t="n">
        <v>1018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448</v>
      </c>
      <c r="C141" s="5" t="n">
        <v>76</v>
      </c>
      <c r="D141" s="5" t="n">
        <v>761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449</v>
      </c>
      <c r="C142" s="5" t="n">
        <v>76</v>
      </c>
      <c r="D142" s="5" t="n">
        <v>355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450</v>
      </c>
      <c r="C143" s="5" t="n">
        <v>75</v>
      </c>
      <c r="D143" s="5" t="n">
        <v>432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451</v>
      </c>
      <c r="C144" s="5" t="n">
        <v>74</v>
      </c>
      <c r="D144" s="5" t="n">
        <v>1211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452</v>
      </c>
      <c r="C145" s="5" t="n">
        <v>73</v>
      </c>
      <c r="D145" s="5" t="n">
        <v>233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453</v>
      </c>
      <c r="C146" s="5" t="n">
        <v>72</v>
      </c>
      <c r="D146" s="5" t="n">
        <v>737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454</v>
      </c>
      <c r="C147" s="5" t="n">
        <v>72</v>
      </c>
      <c r="D147" s="5" t="n">
        <v>407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455</v>
      </c>
      <c r="C148" s="5" t="n">
        <v>71</v>
      </c>
      <c r="D148" s="5" t="n">
        <v>550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456</v>
      </c>
      <c r="C149" s="5" t="n">
        <v>71</v>
      </c>
      <c r="D149" s="5" t="n">
        <v>461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457</v>
      </c>
      <c r="C150" s="5" t="n">
        <v>71</v>
      </c>
      <c r="D150" s="5" t="n">
        <v>391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458</v>
      </c>
      <c r="C151" s="5" t="n">
        <v>70</v>
      </c>
      <c r="D151" s="5" t="n">
        <v>630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459</v>
      </c>
      <c r="C152" s="5" t="n">
        <v>68</v>
      </c>
      <c r="D152" s="5" t="n">
        <v>648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24</v>
      </c>
      <c r="C153" s="5" t="n">
        <v>66</v>
      </c>
      <c r="D153" s="5" t="n">
        <v>1018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460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461</v>
      </c>
      <c r="C4" s="5" t="n">
        <v>46567</v>
      </c>
      <c r="D4" s="5" t="n">
        <v>351980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462</v>
      </c>
      <c r="C5" s="5" t="n">
        <v>44899</v>
      </c>
      <c r="D5" s="5" t="n">
        <v>506209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463</v>
      </c>
      <c r="C6" s="5" t="n">
        <v>21229</v>
      </c>
      <c r="D6" s="5" t="n">
        <v>173642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464</v>
      </c>
      <c r="C7" s="5" t="n">
        <v>16422</v>
      </c>
      <c r="D7" s="5" t="n">
        <v>134924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465</v>
      </c>
      <c r="C8" s="5" t="n">
        <v>15417</v>
      </c>
      <c r="D8" s="5" t="n">
        <v>173270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466</v>
      </c>
      <c r="C9" s="5" t="n">
        <v>10498</v>
      </c>
      <c r="D9" s="5" t="n">
        <v>30062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467</v>
      </c>
      <c r="C10" s="5" t="n">
        <v>10431</v>
      </c>
      <c r="D10" s="5" t="n">
        <v>66023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468</v>
      </c>
      <c r="C11" s="5" t="n">
        <v>9779</v>
      </c>
      <c r="D11" s="5" t="n">
        <v>85098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469</v>
      </c>
      <c r="C12" s="5" t="n">
        <v>6491</v>
      </c>
      <c r="D12" s="5" t="n">
        <v>54715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470</v>
      </c>
      <c r="C13" s="5" t="n">
        <v>4755</v>
      </c>
      <c r="D13" s="5" t="n">
        <v>19020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471</v>
      </c>
      <c r="C14" s="5" t="n">
        <v>4612</v>
      </c>
      <c r="D14" s="5" t="n">
        <v>29859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472</v>
      </c>
      <c r="C15" s="5" t="n">
        <v>3749</v>
      </c>
      <c r="D15" s="5" t="n">
        <v>33661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473</v>
      </c>
      <c r="C16" s="5" t="n">
        <v>3585</v>
      </c>
      <c r="D16" s="5" t="n">
        <v>29279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474</v>
      </c>
      <c r="C17" s="5" t="n">
        <v>3349</v>
      </c>
      <c r="D17" s="5" t="n">
        <v>19663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475</v>
      </c>
      <c r="C18" s="5" t="n">
        <v>3341</v>
      </c>
      <c r="D18" s="5" t="n">
        <v>37578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476</v>
      </c>
      <c r="C19" s="5" t="n">
        <v>3232</v>
      </c>
      <c r="D19" s="5" t="n">
        <v>22854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477</v>
      </c>
      <c r="C20" s="5" t="n">
        <v>2859</v>
      </c>
      <c r="D20" s="5" t="n">
        <v>24924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478</v>
      </c>
      <c r="C21" s="5" t="n">
        <v>2823</v>
      </c>
      <c r="D21" s="5" t="n">
        <v>43331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479</v>
      </c>
      <c r="C22" s="5" t="n">
        <v>2674</v>
      </c>
      <c r="D22" s="5" t="n">
        <v>69923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480</v>
      </c>
      <c r="C23" s="5" t="n">
        <v>2637</v>
      </c>
      <c r="D23" s="5" t="n">
        <v>12844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481</v>
      </c>
      <c r="C24" s="5" t="n">
        <v>2615</v>
      </c>
      <c r="D24" s="5" t="n">
        <v>8327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482</v>
      </c>
      <c r="C25" s="5" t="n">
        <v>2508</v>
      </c>
      <c r="D25" s="5" t="n">
        <v>21568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483</v>
      </c>
      <c r="C26" s="5" t="n">
        <v>2295</v>
      </c>
      <c r="D26" s="5" t="n">
        <v>14530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484</v>
      </c>
      <c r="C27" s="5" t="n">
        <v>2151</v>
      </c>
      <c r="D27" s="5" t="n">
        <v>28934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485</v>
      </c>
      <c r="C28" s="5" t="n">
        <v>1867</v>
      </c>
      <c r="D28" s="5" t="n">
        <v>17232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486</v>
      </c>
      <c r="C29" s="5" t="n">
        <v>1656</v>
      </c>
      <c r="D29" s="5" t="n">
        <v>14863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487</v>
      </c>
      <c r="C30" s="5" t="n">
        <v>1632</v>
      </c>
      <c r="D30" s="5" t="n">
        <v>6990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488</v>
      </c>
      <c r="C31" s="5" t="n">
        <v>1546</v>
      </c>
      <c r="D31" s="5" t="n">
        <v>26139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489</v>
      </c>
      <c r="C32" s="5" t="n">
        <v>1505</v>
      </c>
      <c r="D32" s="5" t="n">
        <v>12102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490</v>
      </c>
      <c r="C33" s="5" t="n">
        <v>1293</v>
      </c>
      <c r="D33" s="5" t="n">
        <v>12059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491</v>
      </c>
      <c r="C34" s="5" t="n">
        <v>1262</v>
      </c>
      <c r="D34" s="5" t="n">
        <v>10678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492</v>
      </c>
      <c r="C35" s="5" t="n">
        <v>1254</v>
      </c>
      <c r="D35" s="5" t="n">
        <v>9663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493</v>
      </c>
      <c r="C36" s="5" t="n">
        <v>1247</v>
      </c>
      <c r="D36" s="5" t="n">
        <v>14636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494</v>
      </c>
      <c r="C37" s="5" t="n">
        <v>1241</v>
      </c>
      <c r="D37" s="5" t="n">
        <v>8021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495</v>
      </c>
      <c r="C38" s="5" t="n">
        <v>1237</v>
      </c>
      <c r="D38" s="5" t="n">
        <v>10190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496</v>
      </c>
      <c r="C39" s="5" t="n">
        <v>1169</v>
      </c>
      <c r="D39" s="5" t="n">
        <v>9372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497</v>
      </c>
      <c r="C40" s="5" t="n">
        <v>1159</v>
      </c>
      <c r="D40" s="5" t="n">
        <v>11194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498</v>
      </c>
      <c r="C41" s="5" t="n">
        <v>1157</v>
      </c>
      <c r="D41" s="5" t="n">
        <v>13600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499</v>
      </c>
      <c r="C42" s="5" t="n">
        <v>1123</v>
      </c>
      <c r="D42" s="5" t="n">
        <v>11963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500</v>
      </c>
      <c r="C43" s="5" t="n">
        <v>989</v>
      </c>
      <c r="D43" s="5" t="n">
        <v>11655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501</v>
      </c>
      <c r="C44" s="5" t="n">
        <v>972</v>
      </c>
      <c r="D44" s="5" t="n">
        <v>8314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502</v>
      </c>
      <c r="C45" s="5" t="n">
        <v>956</v>
      </c>
      <c r="D45" s="5" t="n">
        <v>8667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503</v>
      </c>
      <c r="C46" s="5" t="n">
        <v>927</v>
      </c>
      <c r="D46" s="5" t="n">
        <v>1639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504</v>
      </c>
      <c r="C47" s="5" t="n">
        <v>884</v>
      </c>
      <c r="D47" s="5" t="n">
        <v>8886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505</v>
      </c>
      <c r="C48" s="5" t="n">
        <v>872</v>
      </c>
      <c r="D48" s="5" t="n">
        <v>9491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506</v>
      </c>
      <c r="C49" s="5" t="n">
        <v>770</v>
      </c>
      <c r="D49" s="5" t="n">
        <v>3802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507</v>
      </c>
      <c r="C50" s="5" t="n">
        <v>767</v>
      </c>
      <c r="D50" s="5" t="n">
        <v>167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508</v>
      </c>
      <c r="C51" s="5" t="n">
        <v>747</v>
      </c>
      <c r="D51" s="5" t="n">
        <v>6859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509</v>
      </c>
      <c r="C52" s="5" t="n">
        <v>703</v>
      </c>
      <c r="D52" s="5" t="n">
        <v>2147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510</v>
      </c>
      <c r="C53" s="5" t="n">
        <v>702</v>
      </c>
      <c r="D53" s="5" t="n">
        <v>9576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511</v>
      </c>
      <c r="C54" s="5" t="n">
        <v>672</v>
      </c>
      <c r="D54" s="5" t="n">
        <v>5838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512</v>
      </c>
      <c r="C55" s="5" t="n">
        <v>669</v>
      </c>
      <c r="D55" s="5" t="n">
        <v>1786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513</v>
      </c>
      <c r="C56" s="5" t="n">
        <v>650</v>
      </c>
      <c r="D56" s="5" t="n">
        <v>7701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514</v>
      </c>
      <c r="C57" s="5" t="n">
        <v>608</v>
      </c>
      <c r="D57" s="5" t="n">
        <v>10260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515</v>
      </c>
      <c r="C58" s="5" t="n">
        <v>580</v>
      </c>
      <c r="D58" s="5" t="n">
        <v>1634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516</v>
      </c>
      <c r="C59" s="5" t="n">
        <v>567</v>
      </c>
      <c r="D59" s="5" t="n">
        <v>4715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517</v>
      </c>
      <c r="C60" s="5" t="n">
        <v>544</v>
      </c>
      <c r="D60" s="5" t="n">
        <v>5843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518</v>
      </c>
      <c r="C61" s="5" t="n">
        <v>541</v>
      </c>
      <c r="D61" s="5" t="n">
        <v>2987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519</v>
      </c>
      <c r="C62" s="5" t="n">
        <v>540</v>
      </c>
      <c r="D62" s="5" t="n">
        <v>4809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520</v>
      </c>
      <c r="C63" s="5" t="n">
        <v>528</v>
      </c>
      <c r="D63" s="5" t="n">
        <v>2703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521</v>
      </c>
      <c r="C64" s="5" t="n">
        <v>521</v>
      </c>
      <c r="D64" s="5" t="n">
        <v>6722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522</v>
      </c>
      <c r="C65" s="5" t="n">
        <v>499</v>
      </c>
      <c r="D65" s="5" t="n">
        <v>3897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523</v>
      </c>
      <c r="C66" s="5" t="n">
        <v>473</v>
      </c>
      <c r="D66" s="5" t="n">
        <v>4579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524</v>
      </c>
      <c r="C67" s="5" t="n">
        <v>470</v>
      </c>
      <c r="D67" s="5" t="n">
        <v>5669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525</v>
      </c>
      <c r="C68" s="5" t="n">
        <v>456</v>
      </c>
      <c r="D68" s="5" t="n">
        <v>7265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526</v>
      </c>
      <c r="C69" s="5" t="n">
        <v>455</v>
      </c>
      <c r="D69" s="5" t="n">
        <v>1811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527</v>
      </c>
      <c r="C70" s="5" t="n">
        <v>454</v>
      </c>
      <c r="D70" s="5" t="n">
        <v>6197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528</v>
      </c>
      <c r="C71" s="5" t="n">
        <v>444</v>
      </c>
      <c r="D71" s="5" t="n">
        <v>4641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529</v>
      </c>
      <c r="C72" s="5" t="n">
        <v>433</v>
      </c>
      <c r="D72" s="5" t="n">
        <v>2490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530</v>
      </c>
      <c r="C73" s="5" t="n">
        <v>431</v>
      </c>
      <c r="D73" s="5" t="n">
        <v>6260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531</v>
      </c>
      <c r="C74" s="5" t="n">
        <v>397</v>
      </c>
      <c r="D74" s="5" t="n">
        <v>1891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532</v>
      </c>
      <c r="C75" s="5" t="n">
        <v>389</v>
      </c>
      <c r="D75" s="5" t="n">
        <v>5621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533</v>
      </c>
      <c r="C76" s="5" t="n">
        <v>384</v>
      </c>
      <c r="D76" s="5" t="n">
        <v>2598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534</v>
      </c>
      <c r="C77" s="5" t="n">
        <v>374</v>
      </c>
      <c r="D77" s="5" t="n">
        <v>232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535</v>
      </c>
      <c r="C78" s="5" t="n">
        <v>368</v>
      </c>
      <c r="D78" s="5" t="n">
        <v>1422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536</v>
      </c>
      <c r="C79" s="5" t="n">
        <v>355</v>
      </c>
      <c r="D79" s="5" t="n">
        <v>2085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537</v>
      </c>
      <c r="C80" s="5" t="n">
        <v>348</v>
      </c>
      <c r="D80" s="5" t="n">
        <v>336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538</v>
      </c>
      <c r="C81" s="5" t="n">
        <v>345</v>
      </c>
      <c r="D81" s="5" t="n">
        <v>6833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539</v>
      </c>
      <c r="C82" s="5" t="n">
        <v>344</v>
      </c>
      <c r="D82" s="5" t="n">
        <v>2802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540</v>
      </c>
      <c r="C83" s="5" t="n">
        <v>342</v>
      </c>
      <c r="D83" s="5" t="n">
        <v>1246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541</v>
      </c>
      <c r="C84" s="5" t="n">
        <v>340</v>
      </c>
      <c r="D84" s="5" t="n">
        <v>1311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542</v>
      </c>
      <c r="C85" s="5" t="n">
        <v>338</v>
      </c>
      <c r="D85" s="5" t="n">
        <v>3063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543</v>
      </c>
      <c r="C86" s="5" t="n">
        <v>338</v>
      </c>
      <c r="D86" s="5" t="n">
        <v>1156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544</v>
      </c>
      <c r="C87" s="5" t="n">
        <v>331</v>
      </c>
      <c r="D87" s="5" t="n">
        <v>3114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545</v>
      </c>
      <c r="C88" s="5" t="n">
        <v>329</v>
      </c>
      <c r="D88" s="5" t="n">
        <v>2277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546</v>
      </c>
      <c r="C89" s="5" t="n">
        <v>322</v>
      </c>
      <c r="D89" s="5" t="n">
        <v>1251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547</v>
      </c>
      <c r="C90" s="5" t="n">
        <v>307</v>
      </c>
      <c r="D90" s="5" t="n">
        <v>2768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548</v>
      </c>
      <c r="C91" s="5" t="n">
        <v>296</v>
      </c>
      <c r="D91" s="5" t="n">
        <v>681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549</v>
      </c>
      <c r="C92" s="5" t="n">
        <v>295</v>
      </c>
      <c r="D92" s="5" t="n">
        <v>11697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550</v>
      </c>
      <c r="C93" s="5" t="n">
        <v>288</v>
      </c>
      <c r="D93" s="5" t="n">
        <v>5168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551</v>
      </c>
      <c r="C94" s="5" t="n">
        <v>274</v>
      </c>
      <c r="D94" s="5" t="n">
        <v>1255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552</v>
      </c>
      <c r="C95" s="5" t="n">
        <v>271</v>
      </c>
      <c r="D95" s="5" t="n">
        <v>1618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553</v>
      </c>
      <c r="C96" s="5" t="n">
        <v>271</v>
      </c>
      <c r="D96" s="5" t="n">
        <v>461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554</v>
      </c>
      <c r="C97" s="5" t="n">
        <v>267</v>
      </c>
      <c r="D97" s="5" t="n">
        <v>765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555</v>
      </c>
      <c r="C98" s="5" t="n">
        <v>260</v>
      </c>
      <c r="D98" s="5" t="n">
        <v>2283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556</v>
      </c>
      <c r="C99" s="5" t="n">
        <v>258</v>
      </c>
      <c r="D99" s="5" t="n">
        <v>6600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557</v>
      </c>
      <c r="C100" s="5" t="n">
        <v>245</v>
      </c>
      <c r="D100" s="5" t="n">
        <v>2481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558</v>
      </c>
      <c r="C101" s="5" t="n">
        <v>241</v>
      </c>
      <c r="D101" s="5" t="n">
        <v>1841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559</v>
      </c>
      <c r="C102" s="5" t="n">
        <v>233</v>
      </c>
      <c r="D102" s="5" t="n">
        <v>3843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560</v>
      </c>
      <c r="C103" s="5" t="n">
        <v>219</v>
      </c>
      <c r="D103" s="5" t="n">
        <v>1805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561</v>
      </c>
      <c r="C104" s="5" t="n">
        <v>219</v>
      </c>
      <c r="D104" s="5" t="n">
        <v>1523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562</v>
      </c>
      <c r="C105" s="5" t="n">
        <v>215</v>
      </c>
      <c r="D105" s="5" t="n">
        <v>1029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563</v>
      </c>
      <c r="C106" s="5" t="n">
        <v>215</v>
      </c>
      <c r="D106" s="5" t="n">
        <v>912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564</v>
      </c>
      <c r="C107" s="5" t="n">
        <v>208</v>
      </c>
      <c r="D107" s="5" t="n">
        <v>1934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565</v>
      </c>
      <c r="C108" s="5" t="n">
        <v>208</v>
      </c>
      <c r="D108" s="5" t="n">
        <v>623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566</v>
      </c>
      <c r="C109" s="5" t="n">
        <v>200</v>
      </c>
      <c r="D109" s="5" t="n">
        <v>895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567</v>
      </c>
      <c r="C110" s="5" t="n">
        <v>192</v>
      </c>
      <c r="D110" s="5" t="n">
        <v>1047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568</v>
      </c>
      <c r="C111" s="5" t="n">
        <v>192</v>
      </c>
      <c r="D111" s="5" t="n">
        <v>1013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569</v>
      </c>
      <c r="C112" s="5" t="n">
        <v>188</v>
      </c>
      <c r="D112" s="5" t="n">
        <v>909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570</v>
      </c>
      <c r="C113" s="5" t="n">
        <v>186</v>
      </c>
      <c r="D113" s="5" t="n">
        <v>2213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571</v>
      </c>
      <c r="C114" s="5" t="n">
        <v>186</v>
      </c>
      <c r="D114" s="5" t="n">
        <v>2044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572</v>
      </c>
      <c r="C115" s="5" t="n">
        <v>184</v>
      </c>
      <c r="D115" s="5" t="n">
        <v>1088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573</v>
      </c>
      <c r="C116" s="5" t="n">
        <v>179</v>
      </c>
      <c r="D116" s="5" t="n">
        <v>1184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574</v>
      </c>
      <c r="C117" s="5" t="n">
        <v>176</v>
      </c>
      <c r="D117" s="5" t="n">
        <v>562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575</v>
      </c>
      <c r="C118" s="5" t="n">
        <v>169</v>
      </c>
      <c r="D118" s="5" t="n">
        <v>847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576</v>
      </c>
      <c r="C119" s="5" t="n">
        <v>166</v>
      </c>
      <c r="D119" s="5" t="n">
        <v>2570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577</v>
      </c>
      <c r="C120" s="5" t="n">
        <v>165</v>
      </c>
      <c r="D120" s="5" t="n">
        <v>1128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578</v>
      </c>
      <c r="C121" s="5" t="n">
        <v>164</v>
      </c>
      <c r="D121" s="5" t="n">
        <v>5559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579</v>
      </c>
      <c r="C122" s="5" t="n">
        <v>164</v>
      </c>
      <c r="D122" s="5" t="n">
        <v>1002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580</v>
      </c>
      <c r="C123" s="5" t="n">
        <v>163</v>
      </c>
      <c r="D123" s="5" t="n">
        <v>1424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581</v>
      </c>
      <c r="C124" s="5" t="n">
        <v>163</v>
      </c>
      <c r="D124" s="5" t="n">
        <v>501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582</v>
      </c>
      <c r="C125" s="5" t="n">
        <v>161</v>
      </c>
      <c r="D125" s="5" t="n">
        <v>3873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583</v>
      </c>
      <c r="C126" s="5" t="n">
        <v>160</v>
      </c>
      <c r="D126" s="5" t="n">
        <v>4684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584</v>
      </c>
      <c r="C127" s="5" t="n">
        <v>160</v>
      </c>
      <c r="D127" s="5" t="n">
        <v>3103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585</v>
      </c>
      <c r="C128" s="5" t="n">
        <v>159</v>
      </c>
      <c r="D128" s="5" t="n">
        <v>1545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586</v>
      </c>
      <c r="C129" s="5" t="n">
        <v>157</v>
      </c>
      <c r="D129" s="5" t="n">
        <v>1175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587</v>
      </c>
      <c r="C130" s="5" t="n">
        <v>156</v>
      </c>
      <c r="D130" s="5" t="n">
        <v>1196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588</v>
      </c>
      <c r="C131" s="5" t="n">
        <v>155</v>
      </c>
      <c r="D131" s="5" t="n">
        <v>3596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589</v>
      </c>
      <c r="C132" s="5" t="n">
        <v>150</v>
      </c>
      <c r="D132" s="5" t="n">
        <v>887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590</v>
      </c>
      <c r="C133" s="5" t="n">
        <v>143</v>
      </c>
      <c r="D133" s="5" t="n">
        <v>5894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591</v>
      </c>
      <c r="C134" s="5" t="n">
        <v>142</v>
      </c>
      <c r="D134" s="5" t="n">
        <v>281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592</v>
      </c>
      <c r="C135" s="5" t="n">
        <v>141</v>
      </c>
      <c r="D135" s="5" t="n">
        <v>598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593</v>
      </c>
      <c r="C136" s="5" t="n">
        <v>141</v>
      </c>
      <c r="D136" s="5" t="n">
        <v>0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594</v>
      </c>
      <c r="C137" s="5" t="n">
        <v>139</v>
      </c>
      <c r="D137" s="5" t="n">
        <v>1125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595</v>
      </c>
      <c r="C138" s="5" t="n">
        <v>138</v>
      </c>
      <c r="D138" s="5" t="n">
        <v>1697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596</v>
      </c>
      <c r="C139" s="5" t="n">
        <v>137</v>
      </c>
      <c r="D139" s="5" t="n">
        <v>1707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597</v>
      </c>
      <c r="C140" s="5" t="n">
        <v>137</v>
      </c>
      <c r="D140" s="5" t="n">
        <v>551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598</v>
      </c>
      <c r="C141" s="5" t="n">
        <v>136</v>
      </c>
      <c r="D141" s="5" t="n">
        <v>402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599</v>
      </c>
      <c r="C142" s="5" t="n">
        <v>134</v>
      </c>
      <c r="D142" s="5" t="n">
        <v>1125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600</v>
      </c>
      <c r="C143" s="5" t="n">
        <v>131</v>
      </c>
      <c r="D143" s="5" t="n">
        <v>962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601</v>
      </c>
      <c r="C144" s="5" t="n">
        <v>128</v>
      </c>
      <c r="D144" s="5" t="n">
        <v>941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602</v>
      </c>
      <c r="C145" s="5" t="n">
        <v>127</v>
      </c>
      <c r="D145" s="5" t="n">
        <v>858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603</v>
      </c>
      <c r="C146" s="5" t="n">
        <v>126</v>
      </c>
      <c r="D146" s="5" t="n">
        <v>994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604</v>
      </c>
      <c r="C147" s="5" t="n">
        <v>124</v>
      </c>
      <c r="D147" s="5" t="n">
        <v>1933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605</v>
      </c>
      <c r="C148" s="5" t="n">
        <v>124</v>
      </c>
      <c r="D148" s="5" t="n">
        <v>873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606</v>
      </c>
      <c r="C149" s="5" t="n">
        <v>124</v>
      </c>
      <c r="D149" s="5" t="n">
        <v>79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607</v>
      </c>
      <c r="C150" s="5" t="n">
        <v>122</v>
      </c>
      <c r="D150" s="5" t="n">
        <v>2926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608</v>
      </c>
      <c r="C151" s="5" t="n">
        <v>119</v>
      </c>
      <c r="D151" s="5" t="n">
        <v>144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609</v>
      </c>
      <c r="C152" s="5" t="n">
        <v>117</v>
      </c>
      <c r="D152" s="5" t="n">
        <v>773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610</v>
      </c>
      <c r="C153" s="5" t="n">
        <v>115</v>
      </c>
      <c r="D153" s="5" t="n">
        <v>357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611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612</v>
      </c>
      <c r="C4" s="5" t="n">
        <v>38715</v>
      </c>
      <c r="D4" s="5" t="n">
        <v>360539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613</v>
      </c>
      <c r="C5" s="5" t="n">
        <v>35178</v>
      </c>
      <c r="D5" s="5" t="n">
        <v>537563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614</v>
      </c>
      <c r="C6" s="5" t="n">
        <v>14694</v>
      </c>
      <c r="D6" s="5" t="n">
        <v>144359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615</v>
      </c>
      <c r="C7" s="5" t="n">
        <v>13990</v>
      </c>
      <c r="D7" s="5" t="n">
        <v>156145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616</v>
      </c>
      <c r="C8" s="5" t="n">
        <v>10413</v>
      </c>
      <c r="D8" s="5" t="n">
        <v>82369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617</v>
      </c>
      <c r="C9" s="5" t="n">
        <v>9618</v>
      </c>
      <c r="D9" s="5" t="n">
        <v>102249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618</v>
      </c>
      <c r="C10" s="5" t="n">
        <v>8856</v>
      </c>
      <c r="D10" s="5" t="n">
        <v>90482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619</v>
      </c>
      <c r="C11" s="5" t="n">
        <v>7910</v>
      </c>
      <c r="D11" s="5" t="n">
        <v>34721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620</v>
      </c>
      <c r="C12" s="5" t="n">
        <v>7328</v>
      </c>
      <c r="D12" s="5" t="n">
        <v>47499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621</v>
      </c>
      <c r="C13" s="5" t="n">
        <v>7119</v>
      </c>
      <c r="D13" s="5" t="n">
        <v>21391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622</v>
      </c>
      <c r="C14" s="5" t="n">
        <v>6671</v>
      </c>
      <c r="D14" s="5" t="n">
        <v>62000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623</v>
      </c>
      <c r="C15" s="5" t="n">
        <v>5939</v>
      </c>
      <c r="D15" s="5" t="n">
        <v>17163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624</v>
      </c>
      <c r="C16" s="5" t="n">
        <v>5860</v>
      </c>
      <c r="D16" s="5" t="n">
        <v>46774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625</v>
      </c>
      <c r="C17" s="5" t="n">
        <v>5604</v>
      </c>
      <c r="D17" s="5" t="n">
        <v>26786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626</v>
      </c>
      <c r="C18" s="5" t="n">
        <v>5051</v>
      </c>
      <c r="D18" s="5" t="n">
        <v>79436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627</v>
      </c>
      <c r="C19" s="5" t="n">
        <v>5025</v>
      </c>
      <c r="D19" s="5" t="n">
        <v>30006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628</v>
      </c>
      <c r="C20" s="5" t="n">
        <v>4710</v>
      </c>
      <c r="D20" s="5" t="n">
        <v>30664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629</v>
      </c>
      <c r="C21" s="5" t="n">
        <v>4480</v>
      </c>
      <c r="D21" s="5" t="n">
        <v>29370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630</v>
      </c>
      <c r="C22" s="5" t="n">
        <v>4414</v>
      </c>
      <c r="D22" s="5" t="n">
        <v>30824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631</v>
      </c>
      <c r="C23" s="5" t="n">
        <v>3837</v>
      </c>
      <c r="D23" s="5" t="n">
        <v>35060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632</v>
      </c>
      <c r="C24" s="5" t="n">
        <v>3538</v>
      </c>
      <c r="D24" s="5" t="n">
        <v>52599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633</v>
      </c>
      <c r="C25" s="5" t="n">
        <v>3510</v>
      </c>
      <c r="D25" s="5" t="n">
        <v>39830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634</v>
      </c>
      <c r="C26" s="5" t="n">
        <v>3245</v>
      </c>
      <c r="D26" s="5" t="n">
        <v>30943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635</v>
      </c>
      <c r="C27" s="5" t="n">
        <v>3241</v>
      </c>
      <c r="D27" s="5" t="n">
        <v>25526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636</v>
      </c>
      <c r="C28" s="5" t="n">
        <v>3058</v>
      </c>
      <c r="D28" s="5" t="n">
        <v>20963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637</v>
      </c>
      <c r="C29" s="5" t="n">
        <v>3036</v>
      </c>
      <c r="D29" s="5" t="n">
        <v>17163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638</v>
      </c>
      <c r="C30" s="5" t="n">
        <v>3002</v>
      </c>
      <c r="D30" s="5" t="n">
        <v>35088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639</v>
      </c>
      <c r="C31" s="5" t="n">
        <v>2983</v>
      </c>
      <c r="D31" s="5" t="n">
        <v>8294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640</v>
      </c>
      <c r="C32" s="5" t="n">
        <v>2983</v>
      </c>
      <c r="D32" s="5" t="n">
        <v>7152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641</v>
      </c>
      <c r="C33" s="5" t="n">
        <v>2757</v>
      </c>
      <c r="D33" s="5" t="n">
        <v>29415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642</v>
      </c>
      <c r="C34" s="5" t="n">
        <v>2689</v>
      </c>
      <c r="D34" s="5" t="n">
        <v>14825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643</v>
      </c>
      <c r="C35" s="5" t="n">
        <v>2643</v>
      </c>
      <c r="D35" s="5" t="n">
        <v>26169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644</v>
      </c>
      <c r="C36" s="5" t="n">
        <v>2603</v>
      </c>
      <c r="D36" s="5" t="n">
        <v>21588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645</v>
      </c>
      <c r="C37" s="5" t="n">
        <v>2590</v>
      </c>
      <c r="D37" s="5" t="n">
        <v>44544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646</v>
      </c>
      <c r="C38" s="5" t="n">
        <v>2522</v>
      </c>
      <c r="D38" s="5" t="n">
        <v>8622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647</v>
      </c>
      <c r="C39" s="5" t="n">
        <v>2441</v>
      </c>
      <c r="D39" s="5" t="n">
        <v>13809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648</v>
      </c>
      <c r="C40" s="5" t="n">
        <v>2380</v>
      </c>
      <c r="D40" s="5" t="n">
        <v>32438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649</v>
      </c>
      <c r="C41" s="5" t="n">
        <v>2377</v>
      </c>
      <c r="D41" s="5" t="n">
        <v>34326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650</v>
      </c>
      <c r="C42" s="5" t="n">
        <v>2377</v>
      </c>
      <c r="D42" s="5" t="n">
        <v>18333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651</v>
      </c>
      <c r="C43" s="5" t="n">
        <v>2301</v>
      </c>
      <c r="D43" s="5" t="n">
        <v>11605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652</v>
      </c>
      <c r="C44" s="5" t="n">
        <v>2074</v>
      </c>
      <c r="D44" s="5" t="n">
        <v>24673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653</v>
      </c>
      <c r="C45" s="5" t="n">
        <v>1982</v>
      </c>
      <c r="D45" s="5" t="n">
        <v>37980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654</v>
      </c>
      <c r="C46" s="5" t="n">
        <v>1933</v>
      </c>
      <c r="D46" s="5" t="n">
        <v>8582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655</v>
      </c>
      <c r="C47" s="5" t="n">
        <v>1850</v>
      </c>
      <c r="D47" s="5" t="n">
        <v>22187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656</v>
      </c>
      <c r="C48" s="5" t="n">
        <v>1763</v>
      </c>
      <c r="D48" s="5" t="n">
        <v>16092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657</v>
      </c>
      <c r="C49" s="5" t="n">
        <v>1698</v>
      </c>
      <c r="D49" s="5" t="n">
        <v>10941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658</v>
      </c>
      <c r="C50" s="5" t="n">
        <v>1620</v>
      </c>
      <c r="D50" s="5" t="n">
        <v>9639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659</v>
      </c>
      <c r="C51" s="5" t="n">
        <v>1606</v>
      </c>
      <c r="D51" s="5" t="n">
        <v>9315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660</v>
      </c>
      <c r="C52" s="5" t="n">
        <v>1583</v>
      </c>
      <c r="D52" s="5" t="n">
        <v>12783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661</v>
      </c>
      <c r="C53" s="5" t="n">
        <v>1495</v>
      </c>
      <c r="D53" s="5" t="n">
        <v>11587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662</v>
      </c>
      <c r="C54" s="5" t="n">
        <v>1452</v>
      </c>
      <c r="D54" s="5" t="n">
        <v>15124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663</v>
      </c>
      <c r="C55" s="5" t="n">
        <v>1424</v>
      </c>
      <c r="D55" s="5" t="n">
        <v>4894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664</v>
      </c>
      <c r="C56" s="5" t="n">
        <v>1359</v>
      </c>
      <c r="D56" s="5" t="n">
        <v>10445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665</v>
      </c>
      <c r="C57" s="5" t="n">
        <v>1326</v>
      </c>
      <c r="D57" s="5" t="n">
        <v>13084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666</v>
      </c>
      <c r="C58" s="5" t="n">
        <v>1315</v>
      </c>
      <c r="D58" s="5" t="n">
        <v>11352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667</v>
      </c>
      <c r="C59" s="5" t="n">
        <v>1292</v>
      </c>
      <c r="D59" s="5" t="n">
        <v>14506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668</v>
      </c>
      <c r="C60" s="5" t="n">
        <v>1265</v>
      </c>
      <c r="D60" s="5" t="n">
        <v>6337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669</v>
      </c>
      <c r="C61" s="5" t="n">
        <v>1257</v>
      </c>
      <c r="D61" s="5" t="n">
        <v>15958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670</v>
      </c>
      <c r="C62" s="5" t="n">
        <v>1247</v>
      </c>
      <c r="D62" s="5" t="n">
        <v>12571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671</v>
      </c>
      <c r="C63" s="5" t="n">
        <v>1195</v>
      </c>
      <c r="D63" s="5" t="n">
        <v>17244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672</v>
      </c>
      <c r="C64" s="5" t="n">
        <v>1180</v>
      </c>
      <c r="D64" s="5" t="n">
        <v>23889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673</v>
      </c>
      <c r="C65" s="5" t="n">
        <v>1173</v>
      </c>
      <c r="D65" s="5" t="n">
        <v>13078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674</v>
      </c>
      <c r="C66" s="5" t="n">
        <v>1163</v>
      </c>
      <c r="D66" s="5" t="n">
        <v>6366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675</v>
      </c>
      <c r="C67" s="5" t="n">
        <v>1086</v>
      </c>
      <c r="D67" s="5" t="n">
        <v>9310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676</v>
      </c>
      <c r="C68" s="5" t="n">
        <v>1077</v>
      </c>
      <c r="D68" s="5" t="n">
        <v>14837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677</v>
      </c>
      <c r="C69" s="5" t="n">
        <v>1075</v>
      </c>
      <c r="D69" s="5" t="n">
        <v>18095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678</v>
      </c>
      <c r="C70" s="5" t="n">
        <v>1034</v>
      </c>
      <c r="D70" s="5" t="n">
        <v>10545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679</v>
      </c>
      <c r="C71" s="5" t="n">
        <v>1015</v>
      </c>
      <c r="D71" s="5" t="n">
        <v>13755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680</v>
      </c>
      <c r="C72" s="5" t="n">
        <v>1004</v>
      </c>
      <c r="D72" s="5" t="n">
        <v>10366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681</v>
      </c>
      <c r="C73" s="5" t="n">
        <v>980</v>
      </c>
      <c r="D73" s="5" t="n">
        <v>9842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682</v>
      </c>
      <c r="C74" s="5" t="n">
        <v>970</v>
      </c>
      <c r="D74" s="5" t="n">
        <v>21350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683</v>
      </c>
      <c r="C75" s="5" t="n">
        <v>967</v>
      </c>
      <c r="D75" s="5" t="n">
        <v>11067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684</v>
      </c>
      <c r="C76" s="5" t="n">
        <v>911</v>
      </c>
      <c r="D76" s="5" t="n">
        <v>5859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685</v>
      </c>
      <c r="C77" s="5" t="n">
        <v>898</v>
      </c>
      <c r="D77" s="5" t="n">
        <v>5677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686</v>
      </c>
      <c r="C78" s="5" t="n">
        <v>880</v>
      </c>
      <c r="D78" s="5" t="n">
        <v>11131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687</v>
      </c>
      <c r="C79" s="5" t="n">
        <v>847</v>
      </c>
      <c r="D79" s="5" t="n">
        <v>13459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688</v>
      </c>
      <c r="C80" s="5" t="n">
        <v>820</v>
      </c>
      <c r="D80" s="5" t="n">
        <v>4042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689</v>
      </c>
      <c r="C81" s="5" t="n">
        <v>810</v>
      </c>
      <c r="D81" s="5" t="n">
        <v>6314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690</v>
      </c>
      <c r="C82" s="5" t="n">
        <v>803</v>
      </c>
      <c r="D82" s="5" t="n">
        <v>10304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691</v>
      </c>
      <c r="C83" s="5" t="n">
        <v>799</v>
      </c>
      <c r="D83" s="5" t="n">
        <v>10444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692</v>
      </c>
      <c r="C84" s="5" t="n">
        <v>760</v>
      </c>
      <c r="D84" s="5" t="n">
        <v>4240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693</v>
      </c>
      <c r="C85" s="5" t="n">
        <v>755</v>
      </c>
      <c r="D85" s="5" t="n">
        <v>3652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694</v>
      </c>
      <c r="C86" s="5" t="n">
        <v>737</v>
      </c>
      <c r="D86" s="5" t="n">
        <v>9882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695</v>
      </c>
      <c r="C87" s="5" t="n">
        <v>730</v>
      </c>
      <c r="D87" s="5" t="n">
        <v>5507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696</v>
      </c>
      <c r="C88" s="5" t="n">
        <v>722</v>
      </c>
      <c r="D88" s="5" t="n">
        <v>8757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697</v>
      </c>
      <c r="C89" s="5" t="n">
        <v>715</v>
      </c>
      <c r="D89" s="5" t="n">
        <v>13022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698</v>
      </c>
      <c r="C90" s="5" t="n">
        <v>711</v>
      </c>
      <c r="D90" s="5" t="n">
        <v>7260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699</v>
      </c>
      <c r="C91" s="5" t="n">
        <v>711</v>
      </c>
      <c r="D91" s="5" t="n">
        <v>1283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700</v>
      </c>
      <c r="C92" s="5" t="n">
        <v>696</v>
      </c>
      <c r="D92" s="5" t="n">
        <v>1914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701</v>
      </c>
      <c r="C93" s="5" t="n">
        <v>693</v>
      </c>
      <c r="D93" s="5" t="n">
        <v>5580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702</v>
      </c>
      <c r="C94" s="5" t="n">
        <v>690</v>
      </c>
      <c r="D94" s="5" t="n">
        <v>9925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703</v>
      </c>
      <c r="C95" s="5" t="n">
        <v>680</v>
      </c>
      <c r="D95" s="5" t="n">
        <v>7733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704</v>
      </c>
      <c r="C96" s="5" t="n">
        <v>679</v>
      </c>
      <c r="D96" s="5" t="n">
        <v>5703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705</v>
      </c>
      <c r="C97" s="5" t="n">
        <v>672</v>
      </c>
      <c r="D97" s="5" t="n">
        <v>8835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706</v>
      </c>
      <c r="C98" s="5" t="n">
        <v>662</v>
      </c>
      <c r="D98" s="5" t="n">
        <v>3894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707</v>
      </c>
      <c r="C99" s="5" t="n">
        <v>629</v>
      </c>
      <c r="D99" s="5" t="n">
        <v>12777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708</v>
      </c>
      <c r="C100" s="5" t="n">
        <v>628</v>
      </c>
      <c r="D100" s="5" t="n">
        <v>3733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709</v>
      </c>
      <c r="C101" s="5" t="n">
        <v>615</v>
      </c>
      <c r="D101" s="5" t="n">
        <v>2851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710</v>
      </c>
      <c r="C102" s="5" t="n">
        <v>611</v>
      </c>
      <c r="D102" s="5" t="n">
        <v>3841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711</v>
      </c>
      <c r="C103" s="5" t="n">
        <v>604</v>
      </c>
      <c r="D103" s="5" t="n">
        <v>21550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712</v>
      </c>
      <c r="C104" s="5" t="n">
        <v>599</v>
      </c>
      <c r="D104" s="5" t="n">
        <v>2774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713</v>
      </c>
      <c r="C105" s="5" t="n">
        <v>598</v>
      </c>
      <c r="D105" s="5" t="n">
        <v>3523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714</v>
      </c>
      <c r="C106" s="5" t="n">
        <v>592</v>
      </c>
      <c r="D106" s="5" t="n">
        <v>2484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715</v>
      </c>
      <c r="C107" s="5" t="n">
        <v>583</v>
      </c>
      <c r="D107" s="5" t="n">
        <v>17295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716</v>
      </c>
      <c r="C108" s="5" t="n">
        <v>570</v>
      </c>
      <c r="D108" s="5" t="n">
        <v>6051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717</v>
      </c>
      <c r="C109" s="5" t="n">
        <v>557</v>
      </c>
      <c r="D109" s="5" t="n">
        <v>2441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718</v>
      </c>
      <c r="C110" s="5" t="n">
        <v>555</v>
      </c>
      <c r="D110" s="5" t="n">
        <v>561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719</v>
      </c>
      <c r="C111" s="5" t="n">
        <v>550</v>
      </c>
      <c r="D111" s="5" t="n">
        <v>4109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720</v>
      </c>
      <c r="C112" s="5" t="n">
        <v>547</v>
      </c>
      <c r="D112" s="5" t="n">
        <v>3064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721</v>
      </c>
      <c r="C113" s="5" t="n">
        <v>540</v>
      </c>
      <c r="D113" s="5" t="n">
        <v>4140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722</v>
      </c>
      <c r="C114" s="5" t="n">
        <v>539</v>
      </c>
      <c r="D114" s="5" t="n">
        <v>690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723</v>
      </c>
      <c r="C115" s="5" t="n">
        <v>530</v>
      </c>
      <c r="D115" s="5" t="n">
        <v>2959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724</v>
      </c>
      <c r="C116" s="5" t="n">
        <v>520</v>
      </c>
      <c r="D116" s="5" t="n">
        <v>9039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725</v>
      </c>
      <c r="C117" s="5" t="n">
        <v>508</v>
      </c>
      <c r="D117" s="5" t="n">
        <v>4609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726</v>
      </c>
      <c r="C118" s="5" t="n">
        <v>498</v>
      </c>
      <c r="D118" s="5" t="n">
        <v>7750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727</v>
      </c>
      <c r="C119" s="5" t="n">
        <v>492</v>
      </c>
      <c r="D119" s="5" t="n">
        <v>5156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728</v>
      </c>
      <c r="C120" s="5" t="n">
        <v>485</v>
      </c>
      <c r="D120" s="5" t="n">
        <v>6766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729</v>
      </c>
      <c r="C121" s="5" t="n">
        <v>484</v>
      </c>
      <c r="D121" s="5" t="n">
        <v>16818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730</v>
      </c>
      <c r="C122" s="5" t="n">
        <v>478</v>
      </c>
      <c r="D122" s="5" t="n">
        <v>3040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731</v>
      </c>
      <c r="C123" s="5" t="n">
        <v>477</v>
      </c>
      <c r="D123" s="5" t="n">
        <v>9943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732</v>
      </c>
      <c r="C124" s="5" t="n">
        <v>467</v>
      </c>
      <c r="D124" s="5" t="n">
        <v>5530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733</v>
      </c>
      <c r="C125" s="5" t="n">
        <v>465</v>
      </c>
      <c r="D125" s="5" t="n">
        <v>10962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734</v>
      </c>
      <c r="C126" s="5" t="n">
        <v>454</v>
      </c>
      <c r="D126" s="5" t="n">
        <v>1759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735</v>
      </c>
      <c r="C127" s="5" t="n">
        <v>454</v>
      </c>
      <c r="D127" s="5" t="n">
        <v>1042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736</v>
      </c>
      <c r="C128" s="5" t="n">
        <v>444</v>
      </c>
      <c r="D128" s="5" t="n">
        <v>4577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737</v>
      </c>
      <c r="C129" s="5" t="n">
        <v>444</v>
      </c>
      <c r="D129" s="5" t="n">
        <v>3563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738</v>
      </c>
      <c r="C130" s="5" t="n">
        <v>438</v>
      </c>
      <c r="D130" s="5" t="n">
        <v>2884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739</v>
      </c>
      <c r="C131" s="5" t="n">
        <v>433</v>
      </c>
      <c r="D131" s="5" t="n">
        <v>7550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740</v>
      </c>
      <c r="C132" s="5" t="n">
        <v>432</v>
      </c>
      <c r="D132" s="5" t="n">
        <v>1718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741</v>
      </c>
      <c r="C133" s="5" t="n">
        <v>431</v>
      </c>
      <c r="D133" s="5" t="n">
        <v>8534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742</v>
      </c>
      <c r="C134" s="5" t="n">
        <v>429</v>
      </c>
      <c r="D134" s="5" t="n">
        <v>8260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743</v>
      </c>
      <c r="C135" s="5" t="n">
        <v>426</v>
      </c>
      <c r="D135" s="5" t="n">
        <v>9037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744</v>
      </c>
      <c r="C136" s="5" t="n">
        <v>419</v>
      </c>
      <c r="D136" s="5" t="n">
        <v>1595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745</v>
      </c>
      <c r="C137" s="5" t="n">
        <v>412</v>
      </c>
      <c r="D137" s="5" t="n">
        <v>1395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746</v>
      </c>
      <c r="C138" s="5" t="n">
        <v>412</v>
      </c>
      <c r="D138" s="5" t="n">
        <v>735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747</v>
      </c>
      <c r="C139" s="5" t="n">
        <v>402</v>
      </c>
      <c r="D139" s="5" t="n">
        <v>1100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748</v>
      </c>
      <c r="C140" s="5" t="n">
        <v>390</v>
      </c>
      <c r="D140" s="5" t="n">
        <v>2625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749</v>
      </c>
      <c r="C141" s="5" t="n">
        <v>382</v>
      </c>
      <c r="D141" s="5" t="n">
        <v>3899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750</v>
      </c>
      <c r="C142" s="5" t="n">
        <v>380</v>
      </c>
      <c r="D142" s="5" t="n">
        <v>9856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751</v>
      </c>
      <c r="C143" s="5" t="n">
        <v>380</v>
      </c>
      <c r="D143" s="5" t="n">
        <v>2444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752</v>
      </c>
      <c r="C144" s="5" t="n">
        <v>378</v>
      </c>
      <c r="D144" s="5" t="n">
        <v>3235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753</v>
      </c>
      <c r="C145" s="5" t="n">
        <v>377</v>
      </c>
      <c r="D145" s="5" t="n">
        <v>3216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754</v>
      </c>
      <c r="C146" s="5" t="n">
        <v>377</v>
      </c>
      <c r="D146" s="5" t="n">
        <v>2776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755</v>
      </c>
      <c r="C147" s="5" t="n">
        <v>373</v>
      </c>
      <c r="D147" s="5" t="n">
        <v>2276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756</v>
      </c>
      <c r="C148" s="5" t="n">
        <v>368</v>
      </c>
      <c r="D148" s="5" t="n">
        <v>4049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757</v>
      </c>
      <c r="C149" s="5" t="n">
        <v>356</v>
      </c>
      <c r="D149" s="5" t="n">
        <v>2618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758</v>
      </c>
      <c r="C150" s="5" t="n">
        <v>337</v>
      </c>
      <c r="D150" s="5" t="n">
        <v>3814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759</v>
      </c>
      <c r="C151" s="5" t="n">
        <v>333</v>
      </c>
      <c r="D151" s="5" t="n">
        <v>5419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760</v>
      </c>
      <c r="C152" s="5" t="n">
        <v>333</v>
      </c>
      <c r="D152" s="5" t="n">
        <v>1893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761</v>
      </c>
      <c r="C153" s="5" t="n">
        <v>329</v>
      </c>
      <c r="D153" s="5" t="n">
        <v>1853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762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763</v>
      </c>
      <c r="C4" s="5" t="n">
        <v>63126</v>
      </c>
      <c r="D4" s="5" t="n">
        <v>818364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764</v>
      </c>
      <c r="C5" s="5" t="n">
        <v>14679</v>
      </c>
      <c r="D5" s="5" t="n">
        <v>184518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765</v>
      </c>
      <c r="C6" s="5" t="n">
        <v>12650</v>
      </c>
      <c r="D6" s="5" t="n">
        <v>94736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766</v>
      </c>
      <c r="C7" s="5" t="n">
        <v>11567</v>
      </c>
      <c r="D7" s="5" t="n">
        <v>90185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767</v>
      </c>
      <c r="C8" s="5" t="n">
        <v>9511</v>
      </c>
      <c r="D8" s="5" t="n">
        <v>103410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768</v>
      </c>
      <c r="C9" s="5" t="n">
        <v>8095</v>
      </c>
      <c r="D9" s="5" t="n">
        <v>32851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769</v>
      </c>
      <c r="C10" s="5" t="n">
        <v>7441</v>
      </c>
      <c r="D10" s="5" t="n">
        <v>66393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770</v>
      </c>
      <c r="C11" s="5" t="n">
        <v>6483</v>
      </c>
      <c r="D11" s="5" t="n">
        <v>104557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771</v>
      </c>
      <c r="C12" s="5" t="n">
        <v>5847</v>
      </c>
      <c r="D12" s="5" t="n">
        <v>93642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772</v>
      </c>
      <c r="C13" s="5" t="n">
        <v>5530</v>
      </c>
      <c r="D13" s="5" t="n">
        <v>90499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773</v>
      </c>
      <c r="C14" s="5" t="n">
        <v>4894</v>
      </c>
      <c r="D14" s="5" t="n">
        <v>73165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774</v>
      </c>
      <c r="C15" s="5" t="n">
        <v>4766</v>
      </c>
      <c r="D15" s="5" t="n">
        <v>39596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775</v>
      </c>
      <c r="C16" s="5" t="n">
        <v>4560</v>
      </c>
      <c r="D16" s="5" t="n">
        <v>70666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776</v>
      </c>
      <c r="C17" s="5" t="n">
        <v>4190</v>
      </c>
      <c r="D17" s="5" t="n">
        <v>29481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777</v>
      </c>
      <c r="C18" s="5" t="n">
        <v>3939</v>
      </c>
      <c r="D18" s="5" t="n">
        <v>21521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778</v>
      </c>
      <c r="C19" s="5" t="n">
        <v>3495</v>
      </c>
      <c r="D19" s="5" t="n">
        <v>21735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779</v>
      </c>
      <c r="C20" s="5" t="n">
        <v>3380</v>
      </c>
      <c r="D20" s="5" t="n">
        <v>50886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780</v>
      </c>
      <c r="C21" s="5" t="n">
        <v>2673</v>
      </c>
      <c r="D21" s="5" t="n">
        <v>9190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781</v>
      </c>
      <c r="C22" s="5" t="n">
        <v>2546</v>
      </c>
      <c r="D22" s="5" t="n">
        <v>23727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782</v>
      </c>
      <c r="C23" s="5" t="n">
        <v>2047</v>
      </c>
      <c r="D23" s="5" t="n">
        <v>18625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783</v>
      </c>
      <c r="C24" s="5" t="n">
        <v>1976</v>
      </c>
      <c r="D24" s="5" t="n">
        <v>19901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784</v>
      </c>
      <c r="C25" s="5" t="n">
        <v>1904</v>
      </c>
      <c r="D25" s="5" t="n">
        <v>11209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785</v>
      </c>
      <c r="C26" s="5" t="n">
        <v>1847</v>
      </c>
      <c r="D26" s="5" t="n">
        <v>9560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786</v>
      </c>
      <c r="C27" s="5" t="n">
        <v>1824</v>
      </c>
      <c r="D27" s="5" t="n">
        <v>19425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787</v>
      </c>
      <c r="C28" s="5" t="n">
        <v>1692</v>
      </c>
      <c r="D28" s="5" t="n">
        <v>15187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788</v>
      </c>
      <c r="C29" s="5" t="n">
        <v>1566</v>
      </c>
      <c r="D29" s="5" t="n">
        <v>5935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789</v>
      </c>
      <c r="C30" s="5" t="n">
        <v>1525</v>
      </c>
      <c r="D30" s="5" t="n">
        <v>0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790</v>
      </c>
      <c r="C31" s="5" t="n">
        <v>1388</v>
      </c>
      <c r="D31" s="5" t="n">
        <v>12135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791</v>
      </c>
      <c r="C32" s="5" t="n">
        <v>1377</v>
      </c>
      <c r="D32" s="5" t="n">
        <v>22201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792</v>
      </c>
      <c r="C33" s="5" t="n">
        <v>1329</v>
      </c>
      <c r="D33" s="5" t="n">
        <v>16274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793</v>
      </c>
      <c r="C34" s="5" t="n">
        <v>1209</v>
      </c>
      <c r="D34" s="5" t="n">
        <v>7413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794</v>
      </c>
      <c r="C35" s="5" t="n">
        <v>1186</v>
      </c>
      <c r="D35" s="5" t="n">
        <v>19571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795</v>
      </c>
      <c r="C36" s="5" t="n">
        <v>1167</v>
      </c>
      <c r="D36" s="5" t="n">
        <v>2575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796</v>
      </c>
      <c r="C37" s="5" t="n">
        <v>1065</v>
      </c>
      <c r="D37" s="5" t="n">
        <v>2647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797</v>
      </c>
      <c r="C38" s="5" t="n">
        <v>1042</v>
      </c>
      <c r="D38" s="5" t="n">
        <v>12408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798</v>
      </c>
      <c r="C39" s="5" t="n">
        <v>1040</v>
      </c>
      <c r="D39" s="5" t="n">
        <v>6528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799</v>
      </c>
      <c r="C40" s="5" t="n">
        <v>1017</v>
      </c>
      <c r="D40" s="5" t="n">
        <v>1194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800</v>
      </c>
      <c r="C41" s="5" t="n">
        <v>1010</v>
      </c>
      <c r="D41" s="5" t="n">
        <v>12718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801</v>
      </c>
      <c r="C42" s="5" t="n">
        <v>1005</v>
      </c>
      <c r="D42" s="5" t="n">
        <v>10139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802</v>
      </c>
      <c r="C43" s="5" t="n">
        <v>1005</v>
      </c>
      <c r="D43" s="5" t="n">
        <v>7817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803</v>
      </c>
      <c r="C44" s="5" t="n">
        <v>949</v>
      </c>
      <c r="D44" s="5" t="n">
        <v>21296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804</v>
      </c>
      <c r="C45" s="5" t="n">
        <v>944</v>
      </c>
      <c r="D45" s="5" t="n">
        <v>3593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805</v>
      </c>
      <c r="C46" s="5" t="n">
        <v>913</v>
      </c>
      <c r="D46" s="5" t="n">
        <v>3469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806</v>
      </c>
      <c r="C47" s="5" t="n">
        <v>907</v>
      </c>
      <c r="D47" s="5" t="n">
        <v>11393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807</v>
      </c>
      <c r="C48" s="5" t="n">
        <v>906</v>
      </c>
      <c r="D48" s="5" t="n">
        <v>2432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808</v>
      </c>
      <c r="C49" s="5" t="n">
        <v>865</v>
      </c>
      <c r="D49" s="5" t="n">
        <v>6506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809</v>
      </c>
      <c r="C50" s="5" t="n">
        <v>821</v>
      </c>
      <c r="D50" s="5" t="n">
        <v>4746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810</v>
      </c>
      <c r="C51" s="5" t="n">
        <v>819</v>
      </c>
      <c r="D51" s="5" t="n">
        <v>8507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811</v>
      </c>
      <c r="C52" s="5" t="n">
        <v>803</v>
      </c>
      <c r="D52" s="5" t="n">
        <v>0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812</v>
      </c>
      <c r="C53" s="5" t="n">
        <v>772</v>
      </c>
      <c r="D53" s="5" t="n">
        <v>3796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813</v>
      </c>
      <c r="C54" s="5" t="n">
        <v>760</v>
      </c>
      <c r="D54" s="5" t="n">
        <v>6603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814</v>
      </c>
      <c r="C55" s="5" t="n">
        <v>751</v>
      </c>
      <c r="D55" s="5" t="n">
        <v>9977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815</v>
      </c>
      <c r="C56" s="5" t="n">
        <v>751</v>
      </c>
      <c r="D56" s="5" t="n">
        <v>8681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816</v>
      </c>
      <c r="C57" s="5" t="n">
        <v>705</v>
      </c>
      <c r="D57" s="5" t="n">
        <v>4689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817</v>
      </c>
      <c r="C58" s="5" t="n">
        <v>698</v>
      </c>
      <c r="D58" s="5" t="n">
        <v>1479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818</v>
      </c>
      <c r="C59" s="5" t="n">
        <v>669</v>
      </c>
      <c r="D59" s="5" t="n">
        <v>4907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819</v>
      </c>
      <c r="C60" s="5" t="n">
        <v>664</v>
      </c>
      <c r="D60" s="5" t="n">
        <v>5979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820</v>
      </c>
      <c r="C61" s="5" t="n">
        <v>634</v>
      </c>
      <c r="D61" s="5" t="n">
        <v>8978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821</v>
      </c>
      <c r="C62" s="5" t="n">
        <v>612</v>
      </c>
      <c r="D62" s="5" t="n">
        <v>22821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822</v>
      </c>
      <c r="C63" s="5" t="n">
        <v>603</v>
      </c>
      <c r="D63" s="5" t="n">
        <v>13772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823</v>
      </c>
      <c r="C64" s="5" t="n">
        <v>598</v>
      </c>
      <c r="D64" s="5" t="n">
        <v>5017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824</v>
      </c>
      <c r="C65" s="5" t="n">
        <v>586</v>
      </c>
      <c r="D65" s="5" t="n">
        <v>3638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825</v>
      </c>
      <c r="C66" s="5" t="n">
        <v>578</v>
      </c>
      <c r="D66" s="5" t="n">
        <v>4314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826</v>
      </c>
      <c r="C67" s="5" t="n">
        <v>561</v>
      </c>
      <c r="D67" s="5" t="n">
        <v>2430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827</v>
      </c>
      <c r="C68" s="5" t="n">
        <v>558</v>
      </c>
      <c r="D68" s="5" t="n">
        <v>3847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828</v>
      </c>
      <c r="C69" s="5" t="n">
        <v>543</v>
      </c>
      <c r="D69" s="5" t="n">
        <v>0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829</v>
      </c>
      <c r="C70" s="5" t="n">
        <v>526</v>
      </c>
      <c r="D70" s="5" t="n">
        <v>3178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830</v>
      </c>
      <c r="C71" s="5" t="n">
        <v>519</v>
      </c>
      <c r="D71" s="5" t="n">
        <v>6035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831</v>
      </c>
      <c r="C72" s="5" t="n">
        <v>518</v>
      </c>
      <c r="D72" s="5" t="n">
        <v>6246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832</v>
      </c>
      <c r="C73" s="5" t="n">
        <v>512</v>
      </c>
      <c r="D73" s="5" t="n">
        <v>3501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833</v>
      </c>
      <c r="C74" s="5" t="n">
        <v>505</v>
      </c>
      <c r="D74" s="5" t="n">
        <v>3347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834</v>
      </c>
      <c r="C75" s="5" t="n">
        <v>474</v>
      </c>
      <c r="D75" s="5" t="n">
        <v>4717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835</v>
      </c>
      <c r="C76" s="5" t="n">
        <v>474</v>
      </c>
      <c r="D76" s="5" t="n">
        <v>3539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836</v>
      </c>
      <c r="C77" s="5" t="n">
        <v>463</v>
      </c>
      <c r="D77" s="5" t="n">
        <v>3986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837</v>
      </c>
      <c r="C78" s="5" t="n">
        <v>463</v>
      </c>
      <c r="D78" s="5" t="n">
        <v>3888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838</v>
      </c>
      <c r="C79" s="5" t="n">
        <v>462</v>
      </c>
      <c r="D79" s="5" t="n">
        <v>10536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839</v>
      </c>
      <c r="C80" s="5" t="n">
        <v>459</v>
      </c>
      <c r="D80" s="5" t="n">
        <v>1079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840</v>
      </c>
      <c r="C81" s="5" t="n">
        <v>450</v>
      </c>
      <c r="D81" s="5" t="n">
        <v>4923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841</v>
      </c>
      <c r="C82" s="5" t="n">
        <v>446</v>
      </c>
      <c r="D82" s="5" t="n">
        <v>2870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842</v>
      </c>
      <c r="C83" s="5" t="n">
        <v>423</v>
      </c>
      <c r="D83" s="5" t="n">
        <v>3942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843</v>
      </c>
      <c r="C84" s="5" t="n">
        <v>416</v>
      </c>
      <c r="D84" s="5" t="n">
        <v>2852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844</v>
      </c>
      <c r="C85" s="5" t="n">
        <v>400</v>
      </c>
      <c r="D85" s="5" t="n">
        <v>3479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845</v>
      </c>
      <c r="C86" s="5" t="n">
        <v>393</v>
      </c>
      <c r="D86" s="5" t="n">
        <v>4711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846</v>
      </c>
      <c r="C87" s="5" t="n">
        <v>388</v>
      </c>
      <c r="D87" s="5" t="n">
        <v>1402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847</v>
      </c>
      <c r="C88" s="5" t="n">
        <v>381</v>
      </c>
      <c r="D88" s="5" t="n">
        <v>2281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848</v>
      </c>
      <c r="C89" s="5" t="n">
        <v>379</v>
      </c>
      <c r="D89" s="5" t="n">
        <v>10464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849</v>
      </c>
      <c r="C90" s="5" t="n">
        <v>374</v>
      </c>
      <c r="D90" s="5" t="n">
        <v>3541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850</v>
      </c>
      <c r="C91" s="5" t="n">
        <v>372</v>
      </c>
      <c r="D91" s="5" t="n">
        <v>2307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851</v>
      </c>
      <c r="C92" s="5" t="n">
        <v>366</v>
      </c>
      <c r="D92" s="5" t="n">
        <v>1023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852</v>
      </c>
      <c r="C93" s="5" t="n">
        <v>354</v>
      </c>
      <c r="D93" s="5" t="n">
        <v>2570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853</v>
      </c>
      <c r="C94" s="5" t="n">
        <v>353</v>
      </c>
      <c r="D94" s="5" t="n">
        <v>4035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854</v>
      </c>
      <c r="C95" s="5" t="n">
        <v>352</v>
      </c>
      <c r="D95" s="5" t="n">
        <v>833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855</v>
      </c>
      <c r="C96" s="5" t="n">
        <v>340</v>
      </c>
      <c r="D96" s="5" t="n">
        <v>0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856</v>
      </c>
      <c r="C97" s="5" t="n">
        <v>337</v>
      </c>
      <c r="D97" s="5" t="n">
        <v>4617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857</v>
      </c>
      <c r="C98" s="5" t="n">
        <v>325</v>
      </c>
      <c r="D98" s="5" t="n">
        <v>0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858</v>
      </c>
      <c r="C99" s="5" t="n">
        <v>318</v>
      </c>
      <c r="D99" s="5" t="n">
        <v>2623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859</v>
      </c>
      <c r="C100" s="5" t="n">
        <v>317</v>
      </c>
      <c r="D100" s="5" t="n">
        <v>1931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860</v>
      </c>
      <c r="C101" s="5" t="n">
        <v>316</v>
      </c>
      <c r="D101" s="5" t="n">
        <v>0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861</v>
      </c>
      <c r="C102" s="5" t="n">
        <v>315</v>
      </c>
      <c r="D102" s="5" t="n">
        <v>980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862</v>
      </c>
      <c r="C103" s="5" t="n">
        <v>313</v>
      </c>
      <c r="D103" s="5" t="n">
        <v>0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863</v>
      </c>
      <c r="C104" s="5" t="n">
        <v>309</v>
      </c>
      <c r="D104" s="5" t="n">
        <v>2286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864</v>
      </c>
      <c r="C105" s="5" t="n">
        <v>306</v>
      </c>
      <c r="D105" s="5" t="n">
        <v>639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865</v>
      </c>
      <c r="C106" s="5" t="n">
        <v>296</v>
      </c>
      <c r="D106" s="5" t="n">
        <v>1305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866</v>
      </c>
      <c r="C107" s="5" t="n">
        <v>289</v>
      </c>
      <c r="D107" s="5" t="n">
        <v>1139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867</v>
      </c>
      <c r="C108" s="5" t="n">
        <v>286</v>
      </c>
      <c r="D108" s="5" t="n">
        <v>1434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868</v>
      </c>
      <c r="C109" s="5" t="n">
        <v>280</v>
      </c>
      <c r="D109" s="5" t="n">
        <v>6298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869</v>
      </c>
      <c r="C110" s="5" t="n">
        <v>280</v>
      </c>
      <c r="D110" s="5" t="n">
        <v>0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870</v>
      </c>
      <c r="C111" s="5" t="n">
        <v>279</v>
      </c>
      <c r="D111" s="5" t="n">
        <v>2469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871</v>
      </c>
      <c r="C112" s="5" t="n">
        <v>277</v>
      </c>
      <c r="D112" s="5" t="n">
        <v>0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872</v>
      </c>
      <c r="C113" s="5" t="n">
        <v>253</v>
      </c>
      <c r="D113" s="5" t="n">
        <v>10887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873</v>
      </c>
      <c r="C114" s="5" t="n">
        <v>252</v>
      </c>
      <c r="D114" s="5" t="n">
        <v>1688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874</v>
      </c>
      <c r="C115" s="5" t="n">
        <v>251</v>
      </c>
      <c r="D115" s="5" t="n">
        <v>7024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875</v>
      </c>
      <c r="C116" s="5" t="n">
        <v>250</v>
      </c>
      <c r="D116" s="5" t="n">
        <v>0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876</v>
      </c>
      <c r="C117" s="5" t="n">
        <v>247</v>
      </c>
      <c r="D117" s="5" t="n">
        <v>2827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877</v>
      </c>
      <c r="C118" s="5" t="n">
        <v>245</v>
      </c>
      <c r="D118" s="5" t="n">
        <v>213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878</v>
      </c>
      <c r="C119" s="5" t="n">
        <v>243</v>
      </c>
      <c r="D119" s="5" t="n">
        <v>0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879</v>
      </c>
      <c r="C120" s="5" t="n">
        <v>241</v>
      </c>
      <c r="D120" s="5" t="n">
        <v>1401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880</v>
      </c>
      <c r="C121" s="5" t="n">
        <v>240</v>
      </c>
      <c r="D121" s="5" t="n">
        <v>984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881</v>
      </c>
      <c r="C122" s="5" t="n">
        <v>238</v>
      </c>
      <c r="D122" s="5" t="n">
        <v>1944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882</v>
      </c>
      <c r="C123" s="5" t="n">
        <v>236</v>
      </c>
      <c r="D123" s="5" t="n">
        <v>854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883</v>
      </c>
      <c r="C124" s="5" t="n">
        <v>236</v>
      </c>
      <c r="D124" s="5" t="n">
        <v>501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884</v>
      </c>
      <c r="C125" s="5" t="n">
        <v>234</v>
      </c>
      <c r="D125" s="5" t="n">
        <v>3256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885</v>
      </c>
      <c r="C126" s="5" t="n">
        <v>231</v>
      </c>
      <c r="D126" s="5" t="n">
        <v>2055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886</v>
      </c>
      <c r="C127" s="5" t="n">
        <v>231</v>
      </c>
      <c r="D127" s="5" t="n">
        <v>0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887</v>
      </c>
      <c r="C128" s="5" t="n">
        <v>228</v>
      </c>
      <c r="D128" s="5" t="n">
        <v>747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888</v>
      </c>
      <c r="C129" s="5" t="n">
        <v>225</v>
      </c>
      <c r="D129" s="5" t="n">
        <v>6793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889</v>
      </c>
      <c r="C130" s="5" t="n">
        <v>225</v>
      </c>
      <c r="D130" s="5" t="n">
        <v>2834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890</v>
      </c>
      <c r="C131" s="5" t="n">
        <v>218</v>
      </c>
      <c r="D131" s="5" t="n">
        <v>4241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891</v>
      </c>
      <c r="C132" s="5" t="n">
        <v>216</v>
      </c>
      <c r="D132" s="5" t="n">
        <v>3505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892</v>
      </c>
      <c r="C133" s="5" t="n">
        <v>215</v>
      </c>
      <c r="D133" s="5" t="n">
        <v>2535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893</v>
      </c>
      <c r="C134" s="5" t="n">
        <v>215</v>
      </c>
      <c r="D134" s="5" t="n">
        <v>2334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894</v>
      </c>
      <c r="C135" s="5" t="n">
        <v>215</v>
      </c>
      <c r="D135" s="5" t="n">
        <v>760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895</v>
      </c>
      <c r="C136" s="5" t="n">
        <v>214</v>
      </c>
      <c r="D136" s="5" t="n">
        <v>0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896</v>
      </c>
      <c r="C137" s="5" t="n">
        <v>213</v>
      </c>
      <c r="D137" s="5" t="n">
        <v>5010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897</v>
      </c>
      <c r="C138" s="5" t="n">
        <v>212</v>
      </c>
      <c r="D138" s="5" t="n">
        <v>1338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898</v>
      </c>
      <c r="C139" s="5" t="n">
        <v>211</v>
      </c>
      <c r="D139" s="5" t="n">
        <v>3250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899</v>
      </c>
      <c r="C140" s="5" t="n">
        <v>210</v>
      </c>
      <c r="D140" s="5" t="n">
        <v>1658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900</v>
      </c>
      <c r="C141" s="5" t="n">
        <v>209</v>
      </c>
      <c r="D141" s="5" t="n">
        <v>0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901</v>
      </c>
      <c r="C142" s="5" t="n">
        <v>208</v>
      </c>
      <c r="D142" s="5" t="n">
        <v>366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902</v>
      </c>
      <c r="C143" s="5" t="n">
        <v>206</v>
      </c>
      <c r="D143" s="5" t="n">
        <v>799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903</v>
      </c>
      <c r="C144" s="5" t="n">
        <v>205</v>
      </c>
      <c r="D144" s="5" t="n">
        <v>3512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904</v>
      </c>
      <c r="C145" s="5" t="n">
        <v>204</v>
      </c>
      <c r="D145" s="5" t="n">
        <v>1386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905</v>
      </c>
      <c r="C146" s="5" t="n">
        <v>202</v>
      </c>
      <c r="D146" s="5" t="n">
        <v>14151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906</v>
      </c>
      <c r="C147" s="5" t="n">
        <v>196</v>
      </c>
      <c r="D147" s="5" t="n">
        <v>7947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907</v>
      </c>
      <c r="C148" s="5" t="n">
        <v>195</v>
      </c>
      <c r="D148" s="5" t="n">
        <v>3572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908</v>
      </c>
      <c r="C149" s="5" t="n">
        <v>189</v>
      </c>
      <c r="D149" s="5" t="n">
        <v>0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909</v>
      </c>
      <c r="C150" s="5" t="n">
        <v>186</v>
      </c>
      <c r="D150" s="5" t="n">
        <v>15513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910</v>
      </c>
      <c r="C151" s="5" t="n">
        <v>186</v>
      </c>
      <c r="D151" s="5" t="n">
        <v>3370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911</v>
      </c>
      <c r="C152" s="5" t="n">
        <v>183</v>
      </c>
      <c r="D152" s="5" t="n">
        <v>2016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912</v>
      </c>
      <c r="C153" s="5" t="n">
        <v>181</v>
      </c>
      <c r="D153" s="5" t="n">
        <v>1006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913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914</v>
      </c>
      <c r="C4" s="5" t="n">
        <v>34584</v>
      </c>
      <c r="D4" s="5" t="n">
        <v>467702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915</v>
      </c>
      <c r="C5" s="5" t="n">
        <v>26765</v>
      </c>
      <c r="D5" s="5" t="n">
        <v>192645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916</v>
      </c>
      <c r="C6" s="5" t="n">
        <v>16221</v>
      </c>
      <c r="D6" s="5" t="n">
        <v>196873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917</v>
      </c>
      <c r="C7" s="5" t="n">
        <v>7923</v>
      </c>
      <c r="D7" s="5" t="n">
        <v>61584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918</v>
      </c>
      <c r="C8" s="5" t="n">
        <v>6684</v>
      </c>
      <c r="D8" s="5" t="n">
        <v>38126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919</v>
      </c>
      <c r="C9" s="5" t="n">
        <v>6170</v>
      </c>
      <c r="D9" s="5" t="n">
        <v>43675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920</v>
      </c>
      <c r="C10" s="5" t="n">
        <v>5948</v>
      </c>
      <c r="D10" s="5" t="n">
        <v>61608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921</v>
      </c>
      <c r="C11" s="5" t="n">
        <v>5618</v>
      </c>
      <c r="D11" s="5" t="n">
        <v>65857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922</v>
      </c>
      <c r="C12" s="5" t="n">
        <v>5498</v>
      </c>
      <c r="D12" s="5" t="n">
        <v>38329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923</v>
      </c>
      <c r="C13" s="5" t="n">
        <v>4852</v>
      </c>
      <c r="D13" s="5" t="n">
        <v>43632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924</v>
      </c>
      <c r="C14" s="5" t="n">
        <v>4319</v>
      </c>
      <c r="D14" s="5" t="n">
        <v>23267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925</v>
      </c>
      <c r="C15" s="5" t="n">
        <v>3992</v>
      </c>
      <c r="D15" s="5" t="n">
        <v>42278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926</v>
      </c>
      <c r="C16" s="5" t="n">
        <v>3683</v>
      </c>
      <c r="D16" s="5" t="n">
        <v>38325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927</v>
      </c>
      <c r="C17" s="5" t="n">
        <v>3512</v>
      </c>
      <c r="D17" s="5" t="n">
        <v>32943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928</v>
      </c>
      <c r="C18" s="5" t="n">
        <v>3401</v>
      </c>
      <c r="D18" s="5" t="n">
        <v>14223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929</v>
      </c>
      <c r="C19" s="5" t="n">
        <v>3344</v>
      </c>
      <c r="D19" s="5" t="n">
        <v>30031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930</v>
      </c>
      <c r="C20" s="5" t="n">
        <v>3242</v>
      </c>
      <c r="D20" s="5" t="n">
        <v>25566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931</v>
      </c>
      <c r="C21" s="5" t="n">
        <v>3070</v>
      </c>
      <c r="D21" s="5" t="n">
        <v>17632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932</v>
      </c>
      <c r="C22" s="5" t="n">
        <v>2535</v>
      </c>
      <c r="D22" s="5" t="n">
        <v>18725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933</v>
      </c>
      <c r="C23" s="5" t="n">
        <v>2498</v>
      </c>
      <c r="D23" s="5" t="n">
        <v>30055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934</v>
      </c>
      <c r="C24" s="5" t="n">
        <v>2477</v>
      </c>
      <c r="D24" s="5" t="n">
        <v>24472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935</v>
      </c>
      <c r="C25" s="5" t="n">
        <v>2218</v>
      </c>
      <c r="D25" s="5" t="n">
        <v>13507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936</v>
      </c>
      <c r="C26" s="5" t="n">
        <v>2208</v>
      </c>
      <c r="D26" s="5" t="n">
        <v>9615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23</v>
      </c>
      <c r="C27" s="5" t="n">
        <v>2121</v>
      </c>
      <c r="D27" s="5" t="n">
        <v>10466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937</v>
      </c>
      <c r="C28" s="5" t="n">
        <v>2118</v>
      </c>
      <c r="D28" s="5" t="n">
        <v>34250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938</v>
      </c>
      <c r="C29" s="5" t="n">
        <v>1925</v>
      </c>
      <c r="D29" s="5" t="n">
        <v>9440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939</v>
      </c>
      <c r="C30" s="5" t="n">
        <v>1901</v>
      </c>
      <c r="D30" s="5" t="n">
        <v>34026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940</v>
      </c>
      <c r="C31" s="5" t="n">
        <v>1870</v>
      </c>
      <c r="D31" s="5" t="n">
        <v>24780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941</v>
      </c>
      <c r="C32" s="5" t="n">
        <v>1828</v>
      </c>
      <c r="D32" s="5" t="n">
        <v>7788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942</v>
      </c>
      <c r="C33" s="5" t="n">
        <v>1776</v>
      </c>
      <c r="D33" s="5" t="n">
        <v>9407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943</v>
      </c>
      <c r="C34" s="5" t="n">
        <v>1617</v>
      </c>
      <c r="D34" s="5" t="n">
        <v>8716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944</v>
      </c>
      <c r="C35" s="5" t="n">
        <v>1505</v>
      </c>
      <c r="D35" s="5" t="n">
        <v>6041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945</v>
      </c>
      <c r="C36" s="5" t="n">
        <v>1458</v>
      </c>
      <c r="D36" s="5" t="n">
        <v>4130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946</v>
      </c>
      <c r="C37" s="5" t="n">
        <v>1397</v>
      </c>
      <c r="D37" s="5" t="n">
        <v>16889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947</v>
      </c>
      <c r="C38" s="5" t="n">
        <v>1374</v>
      </c>
      <c r="D38" s="5" t="n">
        <v>13826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948</v>
      </c>
      <c r="C39" s="5" t="n">
        <v>1339</v>
      </c>
      <c r="D39" s="5" t="n">
        <v>17199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949</v>
      </c>
      <c r="C40" s="5" t="n">
        <v>1331</v>
      </c>
      <c r="D40" s="5" t="n">
        <v>10822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950</v>
      </c>
      <c r="C41" s="5" t="n">
        <v>1243</v>
      </c>
      <c r="D41" s="5" t="n">
        <v>55674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951</v>
      </c>
      <c r="C42" s="5" t="n">
        <v>1222</v>
      </c>
      <c r="D42" s="5" t="n">
        <v>4252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952</v>
      </c>
      <c r="C43" s="5" t="n">
        <v>1193</v>
      </c>
      <c r="D43" s="5" t="n">
        <v>5651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953</v>
      </c>
      <c r="C44" s="5" t="n">
        <v>1190</v>
      </c>
      <c r="D44" s="5" t="n">
        <v>4157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954</v>
      </c>
      <c r="C45" s="5" t="n">
        <v>1121</v>
      </c>
      <c r="D45" s="5" t="n">
        <v>25218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955</v>
      </c>
      <c r="C46" s="5" t="n">
        <v>1086</v>
      </c>
      <c r="D46" s="5" t="n">
        <v>7146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956</v>
      </c>
      <c r="C47" s="5" t="n">
        <v>1057</v>
      </c>
      <c r="D47" s="5" t="n">
        <v>11997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957</v>
      </c>
      <c r="C48" s="5" t="n">
        <v>1031</v>
      </c>
      <c r="D48" s="5" t="n">
        <v>12999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958</v>
      </c>
      <c r="C49" s="5" t="n">
        <v>1024</v>
      </c>
      <c r="D49" s="5" t="n">
        <v>19347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959</v>
      </c>
      <c r="C50" s="5" t="n">
        <v>1004</v>
      </c>
      <c r="D50" s="5" t="n">
        <v>10739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960</v>
      </c>
      <c r="C51" s="5" t="n">
        <v>986</v>
      </c>
      <c r="D51" s="5" t="n">
        <v>10800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961</v>
      </c>
      <c r="C52" s="5" t="n">
        <v>975</v>
      </c>
      <c r="D52" s="5" t="n">
        <v>4608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962</v>
      </c>
      <c r="C53" s="5" t="n">
        <v>968</v>
      </c>
      <c r="D53" s="5" t="n">
        <v>3394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963</v>
      </c>
      <c r="C54" s="5" t="n">
        <v>958</v>
      </c>
      <c r="D54" s="5" t="n">
        <v>15673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964</v>
      </c>
      <c r="C55" s="5" t="n">
        <v>950</v>
      </c>
      <c r="D55" s="5" t="n">
        <v>9428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965</v>
      </c>
      <c r="C56" s="5" t="n">
        <v>949</v>
      </c>
      <c r="D56" s="5" t="n">
        <v>8012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966</v>
      </c>
      <c r="C57" s="5" t="n">
        <v>939</v>
      </c>
      <c r="D57" s="5" t="n">
        <v>6544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967</v>
      </c>
      <c r="C58" s="5" t="n">
        <v>893</v>
      </c>
      <c r="D58" s="5" t="n">
        <v>14205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968</v>
      </c>
      <c r="C59" s="5" t="n">
        <v>888</v>
      </c>
      <c r="D59" s="5" t="n">
        <v>4534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969</v>
      </c>
      <c r="C60" s="5" t="n">
        <v>879</v>
      </c>
      <c r="D60" s="5" t="n">
        <v>9547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970</v>
      </c>
      <c r="C61" s="5" t="n">
        <v>872</v>
      </c>
      <c r="D61" s="5" t="n">
        <v>6300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971</v>
      </c>
      <c r="C62" s="5" t="n">
        <v>829</v>
      </c>
      <c r="D62" s="5" t="n">
        <v>5246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972</v>
      </c>
      <c r="C63" s="5" t="n">
        <v>814</v>
      </c>
      <c r="D63" s="5" t="n">
        <v>5016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973</v>
      </c>
      <c r="C64" s="5" t="n">
        <v>807</v>
      </c>
      <c r="D64" s="5" t="n">
        <v>3200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974</v>
      </c>
      <c r="C65" s="5" t="n">
        <v>794</v>
      </c>
      <c r="D65" s="5" t="n">
        <v>4859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975</v>
      </c>
      <c r="C66" s="5" t="n">
        <v>771</v>
      </c>
      <c r="D66" s="5" t="n">
        <v>6084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976</v>
      </c>
      <c r="C67" s="5" t="n">
        <v>770</v>
      </c>
      <c r="D67" s="5" t="n">
        <v>4206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977</v>
      </c>
      <c r="C68" s="5" t="n">
        <v>759</v>
      </c>
      <c r="D68" s="5" t="n">
        <v>9268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978</v>
      </c>
      <c r="C69" s="5" t="n">
        <v>757</v>
      </c>
      <c r="D69" s="5" t="n">
        <v>25966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979</v>
      </c>
      <c r="C70" s="5" t="n">
        <v>757</v>
      </c>
      <c r="D70" s="5" t="n">
        <v>3149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980</v>
      </c>
      <c r="C71" s="5" t="n">
        <v>755</v>
      </c>
      <c r="D71" s="5" t="n">
        <v>3344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981</v>
      </c>
      <c r="C72" s="5" t="n">
        <v>753</v>
      </c>
      <c r="D72" s="5" t="n">
        <v>6174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982</v>
      </c>
      <c r="C73" s="5" t="n">
        <v>753</v>
      </c>
      <c r="D73" s="5" t="n">
        <v>2919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983</v>
      </c>
      <c r="C74" s="5" t="n">
        <v>751</v>
      </c>
      <c r="D74" s="5" t="n">
        <v>10827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984</v>
      </c>
      <c r="C75" s="5" t="n">
        <v>751</v>
      </c>
      <c r="D75" s="5" t="n">
        <v>7363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985</v>
      </c>
      <c r="C76" s="5" t="n">
        <v>731</v>
      </c>
      <c r="D76" s="5" t="n">
        <v>13878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986</v>
      </c>
      <c r="C77" s="5" t="n">
        <v>726</v>
      </c>
      <c r="D77" s="5" t="n">
        <v>1424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987</v>
      </c>
      <c r="C78" s="5" t="n">
        <v>718</v>
      </c>
      <c r="D78" s="5" t="n">
        <v>18156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988</v>
      </c>
      <c r="C79" s="5" t="n">
        <v>716</v>
      </c>
      <c r="D79" s="5" t="n">
        <v>5918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989</v>
      </c>
      <c r="C80" s="5" t="n">
        <v>715</v>
      </c>
      <c r="D80" s="5" t="n">
        <v>9052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990</v>
      </c>
      <c r="C81" s="5" t="n">
        <v>703</v>
      </c>
      <c r="D81" s="5" t="n">
        <v>4020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991</v>
      </c>
      <c r="C82" s="5" t="n">
        <v>696</v>
      </c>
      <c r="D82" s="5" t="n">
        <v>3376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992</v>
      </c>
      <c r="C83" s="5" t="n">
        <v>691</v>
      </c>
      <c r="D83" s="5" t="n">
        <v>6606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993</v>
      </c>
      <c r="C84" s="5" t="n">
        <v>677</v>
      </c>
      <c r="D84" s="5" t="n">
        <v>1607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994</v>
      </c>
      <c r="C85" s="5" t="n">
        <v>655</v>
      </c>
      <c r="D85" s="5" t="n">
        <v>5837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995</v>
      </c>
      <c r="C86" s="5" t="n">
        <v>654</v>
      </c>
      <c r="D86" s="5" t="n">
        <v>1904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996</v>
      </c>
      <c r="C87" s="5" t="n">
        <v>653</v>
      </c>
      <c r="D87" s="5" t="n">
        <v>7683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11</v>
      </c>
      <c r="C88" s="5" t="n">
        <v>651</v>
      </c>
      <c r="D88" s="5" t="n">
        <v>6166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997</v>
      </c>
      <c r="C89" s="5" t="n">
        <v>650</v>
      </c>
      <c r="D89" s="5" t="n">
        <v>7071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998</v>
      </c>
      <c r="C90" s="5" t="n">
        <v>637</v>
      </c>
      <c r="D90" s="5" t="n">
        <v>7087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999</v>
      </c>
      <c r="C91" s="5" t="n">
        <v>625</v>
      </c>
      <c r="D91" s="5" t="n">
        <v>6236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1000</v>
      </c>
      <c r="C92" s="5" t="n">
        <v>615</v>
      </c>
      <c r="D92" s="5" t="n">
        <v>3287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1001</v>
      </c>
      <c r="C93" s="5" t="n">
        <v>607</v>
      </c>
      <c r="D93" s="5" t="n">
        <v>5632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1002</v>
      </c>
      <c r="C94" s="5" t="n">
        <v>595</v>
      </c>
      <c r="D94" s="5" t="n">
        <v>3843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1003</v>
      </c>
      <c r="C95" s="5" t="n">
        <v>589</v>
      </c>
      <c r="D95" s="5" t="n">
        <v>3036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1004</v>
      </c>
      <c r="C96" s="5" t="n">
        <v>549</v>
      </c>
      <c r="D96" s="5" t="n">
        <v>3537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1005</v>
      </c>
      <c r="C97" s="5" t="n">
        <v>539</v>
      </c>
      <c r="D97" s="5" t="n">
        <v>6205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1006</v>
      </c>
      <c r="C98" s="5" t="n">
        <v>533</v>
      </c>
      <c r="D98" s="5" t="n">
        <v>5167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1007</v>
      </c>
      <c r="C99" s="5" t="n">
        <v>528</v>
      </c>
      <c r="D99" s="5" t="n">
        <v>3768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1008</v>
      </c>
      <c r="C100" s="5" t="n">
        <v>523</v>
      </c>
      <c r="D100" s="5" t="n">
        <v>2588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1009</v>
      </c>
      <c r="C101" s="5" t="n">
        <v>500</v>
      </c>
      <c r="D101" s="5" t="n">
        <v>2527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1010</v>
      </c>
      <c r="C102" s="5" t="n">
        <v>500</v>
      </c>
      <c r="D102" s="5" t="n">
        <v>807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1011</v>
      </c>
      <c r="C103" s="5" t="n">
        <v>483</v>
      </c>
      <c r="D103" s="5" t="n">
        <v>0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1012</v>
      </c>
      <c r="C104" s="5" t="n">
        <v>481</v>
      </c>
      <c r="D104" s="5" t="n">
        <v>4738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1013</v>
      </c>
      <c r="C105" s="5" t="n">
        <v>475</v>
      </c>
      <c r="D105" s="5" t="n">
        <v>3660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1014</v>
      </c>
      <c r="C106" s="5" t="n">
        <v>475</v>
      </c>
      <c r="D106" s="5" t="n">
        <v>917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1015</v>
      </c>
      <c r="C107" s="5" t="n">
        <v>473</v>
      </c>
      <c r="D107" s="5" t="n">
        <v>1224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1016</v>
      </c>
      <c r="C108" s="5" t="n">
        <v>470</v>
      </c>
      <c r="D108" s="5" t="n">
        <v>2629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1017</v>
      </c>
      <c r="C109" s="5" t="n">
        <v>461</v>
      </c>
      <c r="D109" s="5" t="n">
        <v>2026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1018</v>
      </c>
      <c r="C110" s="5" t="n">
        <v>458</v>
      </c>
      <c r="D110" s="5" t="n">
        <v>632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1019</v>
      </c>
      <c r="C111" s="5" t="n">
        <v>457</v>
      </c>
      <c r="D111" s="5" t="n">
        <v>2584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1020</v>
      </c>
      <c r="C112" s="5" t="n">
        <v>449</v>
      </c>
      <c r="D112" s="5" t="n">
        <v>3018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1021</v>
      </c>
      <c r="C113" s="5" t="n">
        <v>446</v>
      </c>
      <c r="D113" s="5" t="n">
        <v>1379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1022</v>
      </c>
      <c r="C114" s="5" t="n">
        <v>441</v>
      </c>
      <c r="D114" s="5" t="n">
        <v>9512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1023</v>
      </c>
      <c r="C115" s="5" t="n">
        <v>434</v>
      </c>
      <c r="D115" s="5" t="n">
        <v>2430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1024</v>
      </c>
      <c r="C116" s="5" t="n">
        <v>433</v>
      </c>
      <c r="D116" s="5" t="n">
        <v>14296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1025</v>
      </c>
      <c r="C117" s="5" t="n">
        <v>432</v>
      </c>
      <c r="D117" s="5" t="n">
        <v>1229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1026</v>
      </c>
      <c r="C118" s="5" t="n">
        <v>431</v>
      </c>
      <c r="D118" s="5" t="n">
        <v>5600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1027</v>
      </c>
      <c r="C119" s="5" t="n">
        <v>428</v>
      </c>
      <c r="D119" s="5" t="n">
        <v>6270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1028</v>
      </c>
      <c r="C120" s="5" t="n">
        <v>426</v>
      </c>
      <c r="D120" s="5" t="n">
        <v>4091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1029</v>
      </c>
      <c r="C121" s="5" t="n">
        <v>419</v>
      </c>
      <c r="D121" s="5" t="n">
        <v>3485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1030</v>
      </c>
      <c r="C122" s="5" t="n">
        <v>417</v>
      </c>
      <c r="D122" s="5" t="n">
        <v>0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1031</v>
      </c>
      <c r="C123" s="5" t="n">
        <v>415</v>
      </c>
      <c r="D123" s="5" t="n">
        <v>4928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1032</v>
      </c>
      <c r="C124" s="5" t="n">
        <v>413</v>
      </c>
      <c r="D124" s="5" t="n">
        <v>0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1033</v>
      </c>
      <c r="C125" s="5" t="n">
        <v>412</v>
      </c>
      <c r="D125" s="5" t="n">
        <v>6788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1034</v>
      </c>
      <c r="C126" s="5" t="n">
        <v>409</v>
      </c>
      <c r="D126" s="5" t="n">
        <v>3960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1035</v>
      </c>
      <c r="C127" s="5" t="n">
        <v>401</v>
      </c>
      <c r="D127" s="5" t="n">
        <v>2341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1036</v>
      </c>
      <c r="C128" s="5" t="n">
        <v>391</v>
      </c>
      <c r="D128" s="5" t="n">
        <v>17726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1037</v>
      </c>
      <c r="C129" s="5" t="n">
        <v>391</v>
      </c>
      <c r="D129" s="5" t="n">
        <v>3638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1038</v>
      </c>
      <c r="C130" s="5" t="n">
        <v>377</v>
      </c>
      <c r="D130" s="5" t="n">
        <v>4532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1039</v>
      </c>
      <c r="C131" s="5" t="n">
        <v>374</v>
      </c>
      <c r="D131" s="5" t="n">
        <v>10089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1040</v>
      </c>
      <c r="C132" s="5" t="n">
        <v>367</v>
      </c>
      <c r="D132" s="5" t="n">
        <v>1898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1041</v>
      </c>
      <c r="C133" s="5" t="n">
        <v>361</v>
      </c>
      <c r="D133" s="5" t="n">
        <v>2699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1042</v>
      </c>
      <c r="C134" s="5" t="n">
        <v>359</v>
      </c>
      <c r="D134" s="5" t="n">
        <v>2161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1043</v>
      </c>
      <c r="C135" s="5" t="n">
        <v>359</v>
      </c>
      <c r="D135" s="5" t="n">
        <v>1081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1044</v>
      </c>
      <c r="C136" s="5" t="n">
        <v>358</v>
      </c>
      <c r="D136" s="5" t="n">
        <v>5302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1045</v>
      </c>
      <c r="C137" s="5" t="n">
        <v>355</v>
      </c>
      <c r="D137" s="5" t="n">
        <v>3868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1046</v>
      </c>
      <c r="C138" s="5" t="n">
        <v>355</v>
      </c>
      <c r="D138" s="5" t="n">
        <v>1605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1047</v>
      </c>
      <c r="C139" s="5" t="n">
        <v>354</v>
      </c>
      <c r="D139" s="5" t="n">
        <v>2536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1048</v>
      </c>
      <c r="C140" s="5" t="n">
        <v>352</v>
      </c>
      <c r="D140" s="5" t="n">
        <v>3695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1049</v>
      </c>
      <c r="C141" s="5" t="n">
        <v>352</v>
      </c>
      <c r="D141" s="5" t="n">
        <v>1561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1050</v>
      </c>
      <c r="C142" s="5" t="n">
        <v>347</v>
      </c>
      <c r="D142" s="5" t="n">
        <v>5731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1051</v>
      </c>
      <c r="C143" s="5" t="n">
        <v>347</v>
      </c>
      <c r="D143" s="5" t="n">
        <v>3895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1052</v>
      </c>
      <c r="C144" s="5" t="n">
        <v>346</v>
      </c>
      <c r="D144" s="5" t="n">
        <v>3122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1053</v>
      </c>
      <c r="C145" s="5" t="n">
        <v>344</v>
      </c>
      <c r="D145" s="5" t="n">
        <v>1922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1054</v>
      </c>
      <c r="C146" s="5" t="n">
        <v>342</v>
      </c>
      <c r="D146" s="5" t="n">
        <v>1243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1055</v>
      </c>
      <c r="C147" s="5" t="n">
        <v>339</v>
      </c>
      <c r="D147" s="5" t="n">
        <v>3836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1056</v>
      </c>
      <c r="C148" s="5" t="n">
        <v>339</v>
      </c>
      <c r="D148" s="5" t="n">
        <v>955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1057</v>
      </c>
      <c r="C149" s="5" t="n">
        <v>336</v>
      </c>
      <c r="D149" s="5" t="n">
        <v>5268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1058</v>
      </c>
      <c r="C150" s="5" t="n">
        <v>336</v>
      </c>
      <c r="D150" s="5" t="n">
        <v>1621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1059</v>
      </c>
      <c r="C151" s="5" t="n">
        <v>326</v>
      </c>
      <c r="D151" s="5" t="n">
        <v>2125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1060</v>
      </c>
      <c r="C152" s="5" t="n">
        <v>325</v>
      </c>
      <c r="D152" s="5" t="n">
        <v>4368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1061</v>
      </c>
      <c r="C153" s="5" t="n">
        <v>321</v>
      </c>
      <c r="D153" s="5" t="n">
        <v>3627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1062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1063</v>
      </c>
      <c r="C4" s="5" t="n">
        <v>27623</v>
      </c>
      <c r="D4" s="5" t="n">
        <v>230926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1064</v>
      </c>
      <c r="C5" s="5" t="n">
        <v>23226</v>
      </c>
      <c r="D5" s="5" t="n">
        <v>221718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1065</v>
      </c>
      <c r="C6" s="5" t="n">
        <v>17977</v>
      </c>
      <c r="D6" s="5" t="n">
        <v>169729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1066</v>
      </c>
      <c r="C7" s="5" t="n">
        <v>13585</v>
      </c>
      <c r="D7" s="5" t="n">
        <v>152506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12</v>
      </c>
      <c r="C8" s="5" t="n">
        <v>12014</v>
      </c>
      <c r="D8" s="5" t="n">
        <v>35694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1067</v>
      </c>
      <c r="C9" s="5" t="n">
        <v>10462</v>
      </c>
      <c r="D9" s="5" t="n">
        <v>69977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1068</v>
      </c>
      <c r="C10" s="5" t="n">
        <v>10082</v>
      </c>
      <c r="D10" s="5" t="n">
        <v>114643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1069</v>
      </c>
      <c r="C11" s="5" t="n">
        <v>7486</v>
      </c>
      <c r="D11" s="5" t="n">
        <v>63755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1070</v>
      </c>
      <c r="C12" s="5" t="n">
        <v>6733</v>
      </c>
      <c r="D12" s="5" t="n">
        <v>40240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1071</v>
      </c>
      <c r="C13" s="5" t="n">
        <v>6388</v>
      </c>
      <c r="D13" s="5" t="n">
        <v>79009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1072</v>
      </c>
      <c r="C14" s="5" t="n">
        <v>4481</v>
      </c>
      <c r="D14" s="5" t="n">
        <v>34378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1073</v>
      </c>
      <c r="C15" s="5" t="n">
        <v>4383</v>
      </c>
      <c r="D15" s="5" t="n">
        <v>36549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1074</v>
      </c>
      <c r="C16" s="5" t="n">
        <v>4350</v>
      </c>
      <c r="D16" s="5" t="n">
        <v>37709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1075</v>
      </c>
      <c r="C17" s="5" t="n">
        <v>4041</v>
      </c>
      <c r="D17" s="5" t="n">
        <v>23386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1076</v>
      </c>
      <c r="C18" s="5" t="n">
        <v>4036</v>
      </c>
      <c r="D18" s="5" t="n">
        <v>29643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1077</v>
      </c>
      <c r="C19" s="5" t="n">
        <v>3928</v>
      </c>
      <c r="D19" s="5" t="n">
        <v>48705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1078</v>
      </c>
      <c r="C20" s="5" t="n">
        <v>3608</v>
      </c>
      <c r="D20" s="5" t="n">
        <v>0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1079</v>
      </c>
      <c r="C21" s="5" t="n">
        <v>3390</v>
      </c>
      <c r="D21" s="5" t="n">
        <v>66480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1080</v>
      </c>
      <c r="C22" s="5" t="n">
        <v>3357</v>
      </c>
      <c r="D22" s="5" t="n">
        <v>24219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1081</v>
      </c>
      <c r="C23" s="5" t="n">
        <v>3023</v>
      </c>
      <c r="D23" s="5" t="n">
        <v>14773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1082</v>
      </c>
      <c r="C24" s="5" t="n">
        <v>2878</v>
      </c>
      <c r="D24" s="5" t="n">
        <v>21364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1083</v>
      </c>
      <c r="C25" s="5" t="n">
        <v>2701</v>
      </c>
      <c r="D25" s="5" t="n">
        <v>44557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1084</v>
      </c>
      <c r="C26" s="5" t="n">
        <v>2686</v>
      </c>
      <c r="D26" s="5" t="n">
        <v>22530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1085</v>
      </c>
      <c r="C27" s="5" t="n">
        <v>2677</v>
      </c>
      <c r="D27" s="5" t="n">
        <v>11007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1086</v>
      </c>
      <c r="C28" s="5" t="n">
        <v>2631</v>
      </c>
      <c r="D28" s="5" t="n">
        <v>59691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1087</v>
      </c>
      <c r="C29" s="5" t="n">
        <v>2569</v>
      </c>
      <c r="D29" s="5" t="n">
        <v>18700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1088</v>
      </c>
      <c r="C30" s="5" t="n">
        <v>2364</v>
      </c>
      <c r="D30" s="5" t="n">
        <v>21261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1089</v>
      </c>
      <c r="C31" s="5" t="n">
        <v>2204</v>
      </c>
      <c r="D31" s="5" t="n">
        <v>20990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1090</v>
      </c>
      <c r="C32" s="5" t="n">
        <v>2133</v>
      </c>
      <c r="D32" s="5" t="n">
        <v>10629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1091</v>
      </c>
      <c r="C33" s="5" t="n">
        <v>2125</v>
      </c>
      <c r="D33" s="5" t="n">
        <v>23351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1092</v>
      </c>
      <c r="C34" s="5" t="n">
        <v>2058</v>
      </c>
      <c r="D34" s="5" t="n">
        <v>20882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1093</v>
      </c>
      <c r="C35" s="5" t="n">
        <v>2050</v>
      </c>
      <c r="D35" s="5" t="n">
        <v>19269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1094</v>
      </c>
      <c r="C36" s="5" t="n">
        <v>1910</v>
      </c>
      <c r="D36" s="5" t="n">
        <v>18721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1095</v>
      </c>
      <c r="C37" s="5" t="n">
        <v>1852</v>
      </c>
      <c r="D37" s="5" t="n">
        <v>13205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1096</v>
      </c>
      <c r="C38" s="5" t="n">
        <v>1584</v>
      </c>
      <c r="D38" s="5" t="n">
        <v>6718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1097</v>
      </c>
      <c r="C39" s="5" t="n">
        <v>1565</v>
      </c>
      <c r="D39" s="5" t="n">
        <v>16585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1098</v>
      </c>
      <c r="C40" s="5" t="n">
        <v>1538</v>
      </c>
      <c r="D40" s="5" t="n">
        <v>13081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1099</v>
      </c>
      <c r="C41" s="5" t="n">
        <v>1525</v>
      </c>
      <c r="D41" s="5" t="n">
        <v>3814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1100</v>
      </c>
      <c r="C42" s="5" t="n">
        <v>1493</v>
      </c>
      <c r="D42" s="5" t="n">
        <v>16121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1101</v>
      </c>
      <c r="C43" s="5" t="n">
        <v>1484</v>
      </c>
      <c r="D43" s="5" t="n">
        <v>21505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1102</v>
      </c>
      <c r="C44" s="5" t="n">
        <v>1474</v>
      </c>
      <c r="D44" s="5" t="n">
        <v>8551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1103</v>
      </c>
      <c r="C45" s="5" t="n">
        <v>1382</v>
      </c>
      <c r="D45" s="5" t="n">
        <v>14273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1104</v>
      </c>
      <c r="C46" s="5" t="n">
        <v>1354</v>
      </c>
      <c r="D46" s="5" t="n">
        <v>1562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1105</v>
      </c>
      <c r="C47" s="5" t="n">
        <v>1327</v>
      </c>
      <c r="D47" s="5" t="n">
        <v>15511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1106</v>
      </c>
      <c r="C48" s="5" t="n">
        <v>1262</v>
      </c>
      <c r="D48" s="5" t="n">
        <v>5040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1107</v>
      </c>
      <c r="C49" s="5" t="n">
        <v>1242</v>
      </c>
      <c r="D49" s="5" t="n">
        <v>5424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1108</v>
      </c>
      <c r="C50" s="5" t="n">
        <v>1220</v>
      </c>
      <c r="D50" s="5" t="n">
        <v>9581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1109</v>
      </c>
      <c r="C51" s="5" t="n">
        <v>1207</v>
      </c>
      <c r="D51" s="5" t="n">
        <v>16710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1110</v>
      </c>
      <c r="C52" s="5" t="n">
        <v>1202</v>
      </c>
      <c r="D52" s="5" t="n">
        <v>8676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1111</v>
      </c>
      <c r="C53" s="5" t="n">
        <v>1152</v>
      </c>
      <c r="D53" s="5" t="n">
        <v>6907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1112</v>
      </c>
      <c r="C54" s="5" t="n">
        <v>1075</v>
      </c>
      <c r="D54" s="5" t="n">
        <v>14652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1113</v>
      </c>
      <c r="C55" s="5" t="n">
        <v>1059</v>
      </c>
      <c r="D55" s="5" t="n">
        <v>18765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1114</v>
      </c>
      <c r="C56" s="5" t="n">
        <v>1035</v>
      </c>
      <c r="D56" s="5" t="n">
        <v>7443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1115</v>
      </c>
      <c r="C57" s="5" t="n">
        <v>1006</v>
      </c>
      <c r="D57" s="5" t="n">
        <v>1032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1116</v>
      </c>
      <c r="C58" s="5" t="n">
        <v>973</v>
      </c>
      <c r="D58" s="5" t="n">
        <v>6005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1117</v>
      </c>
      <c r="C59" s="5" t="n">
        <v>969</v>
      </c>
      <c r="D59" s="5" t="n">
        <v>8809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1118</v>
      </c>
      <c r="C60" s="5" t="n">
        <v>962</v>
      </c>
      <c r="D60" s="5" t="n">
        <v>14812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1119</v>
      </c>
      <c r="C61" s="5" t="n">
        <v>928</v>
      </c>
      <c r="D61" s="5" t="n">
        <v>4903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1120</v>
      </c>
      <c r="C62" s="5" t="n">
        <v>908</v>
      </c>
      <c r="D62" s="5" t="n">
        <v>22607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1121</v>
      </c>
      <c r="C63" s="5" t="n">
        <v>903</v>
      </c>
      <c r="D63" s="5" t="n">
        <v>6429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1122</v>
      </c>
      <c r="C64" s="5" t="n">
        <v>891</v>
      </c>
      <c r="D64" s="5" t="n">
        <v>25730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1123</v>
      </c>
      <c r="C65" s="5" t="n">
        <v>886</v>
      </c>
      <c r="D65" s="5" t="n">
        <v>2111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1124</v>
      </c>
      <c r="C66" s="5" t="n">
        <v>874</v>
      </c>
      <c r="D66" s="5" t="n">
        <v>12531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1125</v>
      </c>
      <c r="C67" s="5" t="n">
        <v>871</v>
      </c>
      <c r="D67" s="5" t="n">
        <v>22325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1126</v>
      </c>
      <c r="C68" s="5" t="n">
        <v>849</v>
      </c>
      <c r="D68" s="5" t="n">
        <v>37140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1127</v>
      </c>
      <c r="C69" s="5" t="n">
        <v>761</v>
      </c>
      <c r="D69" s="5" t="n">
        <v>4255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1128</v>
      </c>
      <c r="C70" s="5" t="n">
        <v>740</v>
      </c>
      <c r="D70" s="5" t="n">
        <v>8632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1129</v>
      </c>
      <c r="C71" s="5" t="n">
        <v>721</v>
      </c>
      <c r="D71" s="5" t="n">
        <v>3104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1130</v>
      </c>
      <c r="C72" s="5" t="n">
        <v>702</v>
      </c>
      <c r="D72" s="5" t="n">
        <v>1332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1131</v>
      </c>
      <c r="C73" s="5" t="n">
        <v>648</v>
      </c>
      <c r="D73" s="5" t="n">
        <v>13088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1132</v>
      </c>
      <c r="C74" s="5" t="n">
        <v>647</v>
      </c>
      <c r="D74" s="5" t="n">
        <v>4385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1133</v>
      </c>
      <c r="C75" s="5" t="n">
        <v>637</v>
      </c>
      <c r="D75" s="5" t="n">
        <v>5202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1134</v>
      </c>
      <c r="C76" s="5" t="n">
        <v>630</v>
      </c>
      <c r="D76" s="5" t="n">
        <v>4449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1135</v>
      </c>
      <c r="C77" s="5" t="n">
        <v>628</v>
      </c>
      <c r="D77" s="5" t="n">
        <v>5742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1136</v>
      </c>
      <c r="C78" s="5" t="n">
        <v>625</v>
      </c>
      <c r="D78" s="5" t="n">
        <v>7010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1137</v>
      </c>
      <c r="C79" s="5" t="n">
        <v>615</v>
      </c>
      <c r="D79" s="5" t="n">
        <v>454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1138</v>
      </c>
      <c r="C80" s="5" t="n">
        <v>614</v>
      </c>
      <c r="D80" s="5" t="n">
        <v>2071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1139</v>
      </c>
      <c r="C81" s="5" t="n">
        <v>600</v>
      </c>
      <c r="D81" s="5" t="n">
        <v>4464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1140</v>
      </c>
      <c r="C82" s="5" t="n">
        <v>574</v>
      </c>
      <c r="D82" s="5" t="n">
        <v>4040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1141</v>
      </c>
      <c r="C83" s="5" t="n">
        <v>566</v>
      </c>
      <c r="D83" s="5" t="n">
        <v>7337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1142</v>
      </c>
      <c r="C84" s="5" t="n">
        <v>564</v>
      </c>
      <c r="D84" s="5" t="n">
        <v>11235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1143</v>
      </c>
      <c r="C85" s="5" t="n">
        <v>561</v>
      </c>
      <c r="D85" s="5" t="n">
        <v>6480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1144</v>
      </c>
      <c r="C86" s="5" t="n">
        <v>547</v>
      </c>
      <c r="D86" s="5" t="n">
        <v>7733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1145</v>
      </c>
      <c r="C87" s="5" t="n">
        <v>546</v>
      </c>
      <c r="D87" s="5" t="n">
        <v>16242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1146</v>
      </c>
      <c r="C88" s="5" t="n">
        <v>531</v>
      </c>
      <c r="D88" s="5" t="n">
        <v>7711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1147</v>
      </c>
      <c r="C89" s="5" t="n">
        <v>525</v>
      </c>
      <c r="D89" s="5" t="n">
        <v>7113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1148</v>
      </c>
      <c r="C90" s="5" t="n">
        <v>523</v>
      </c>
      <c r="D90" s="5" t="n">
        <v>2693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1149</v>
      </c>
      <c r="C91" s="5" t="n">
        <v>521</v>
      </c>
      <c r="D91" s="5" t="n">
        <v>18864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1150</v>
      </c>
      <c r="C92" s="5" t="n">
        <v>510</v>
      </c>
      <c r="D92" s="5" t="n">
        <v>10399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1151</v>
      </c>
      <c r="C93" s="5" t="n">
        <v>502</v>
      </c>
      <c r="D93" s="5" t="n">
        <v>4909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1152</v>
      </c>
      <c r="C94" s="5" t="n">
        <v>502</v>
      </c>
      <c r="D94" s="5" t="n">
        <v>2174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1153</v>
      </c>
      <c r="C95" s="5" t="n">
        <v>490</v>
      </c>
      <c r="D95" s="5" t="n">
        <v>1933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1154</v>
      </c>
      <c r="C96" s="5" t="n">
        <v>489</v>
      </c>
      <c r="D96" s="5" t="n">
        <v>2822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1155</v>
      </c>
      <c r="C97" s="5" t="n">
        <v>488</v>
      </c>
      <c r="D97" s="5" t="n">
        <v>0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1156</v>
      </c>
      <c r="C98" s="5" t="n">
        <v>487</v>
      </c>
      <c r="D98" s="5" t="n">
        <v>11845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1157</v>
      </c>
      <c r="C99" s="5" t="n">
        <v>479</v>
      </c>
      <c r="D99" s="5" t="n">
        <v>3552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1158</v>
      </c>
      <c r="C100" s="5" t="n">
        <v>467</v>
      </c>
      <c r="D100" s="5" t="n">
        <v>1872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1159</v>
      </c>
      <c r="C101" s="5" t="n">
        <v>460</v>
      </c>
      <c r="D101" s="5" t="n">
        <v>8930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1160</v>
      </c>
      <c r="C102" s="5" t="n">
        <v>458</v>
      </c>
      <c r="D102" s="5" t="n">
        <v>15224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1161</v>
      </c>
      <c r="C103" s="5" t="n">
        <v>451</v>
      </c>
      <c r="D103" s="5" t="n">
        <v>4712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1162</v>
      </c>
      <c r="C104" s="5" t="n">
        <v>449</v>
      </c>
      <c r="D104" s="5" t="n">
        <v>8091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1163</v>
      </c>
      <c r="C105" s="5" t="n">
        <v>449</v>
      </c>
      <c r="D105" s="5" t="n">
        <v>4236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1164</v>
      </c>
      <c r="C106" s="5" t="n">
        <v>446</v>
      </c>
      <c r="D106" s="5" t="n">
        <v>2492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1165</v>
      </c>
      <c r="C107" s="5" t="n">
        <v>443</v>
      </c>
      <c r="D107" s="5" t="n">
        <v>12820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1166</v>
      </c>
      <c r="C108" s="5" t="n">
        <v>435</v>
      </c>
      <c r="D108" s="5" t="n">
        <v>14520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1167</v>
      </c>
      <c r="C109" s="5" t="n">
        <v>427</v>
      </c>
      <c r="D109" s="5" t="n">
        <v>6935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1168</v>
      </c>
      <c r="C110" s="5" t="n">
        <v>425</v>
      </c>
      <c r="D110" s="5" t="n">
        <v>5639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1169</v>
      </c>
      <c r="C111" s="5" t="n">
        <v>423</v>
      </c>
      <c r="D111" s="5" t="n">
        <v>2378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1170</v>
      </c>
      <c r="C112" s="5" t="n">
        <v>420</v>
      </c>
      <c r="D112" s="5" t="n">
        <v>8122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1171</v>
      </c>
      <c r="C113" s="5" t="n">
        <v>414</v>
      </c>
      <c r="D113" s="5" t="n">
        <v>6587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1172</v>
      </c>
      <c r="C114" s="5" t="n">
        <v>413</v>
      </c>
      <c r="D114" s="5" t="n">
        <v>3003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1173</v>
      </c>
      <c r="C115" s="5" t="n">
        <v>407</v>
      </c>
      <c r="D115" s="5" t="n">
        <v>4483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1174</v>
      </c>
      <c r="C116" s="5" t="n">
        <v>406</v>
      </c>
      <c r="D116" s="5" t="n">
        <v>4293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1175</v>
      </c>
      <c r="C117" s="5" t="n">
        <v>404</v>
      </c>
      <c r="D117" s="5" t="n">
        <v>2951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1176</v>
      </c>
      <c r="C118" s="5" t="n">
        <v>396</v>
      </c>
      <c r="D118" s="5" t="n">
        <v>2610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1177</v>
      </c>
      <c r="C119" s="5" t="n">
        <v>393</v>
      </c>
      <c r="D119" s="5" t="n">
        <v>1710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1178</v>
      </c>
      <c r="C120" s="5" t="n">
        <v>390</v>
      </c>
      <c r="D120" s="5" t="n">
        <v>4808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1179</v>
      </c>
      <c r="C121" s="5" t="n">
        <v>389</v>
      </c>
      <c r="D121" s="5" t="n">
        <v>9239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1180</v>
      </c>
      <c r="C122" s="5" t="n">
        <v>389</v>
      </c>
      <c r="D122" s="5" t="n">
        <v>1848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1181</v>
      </c>
      <c r="C123" s="5" t="n">
        <v>388</v>
      </c>
      <c r="D123" s="5" t="n">
        <v>12160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1182</v>
      </c>
      <c r="C124" s="5" t="n">
        <v>387</v>
      </c>
      <c r="D124" s="5" t="n">
        <v>0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1183</v>
      </c>
      <c r="C125" s="5" t="n">
        <v>385</v>
      </c>
      <c r="D125" s="5" t="n">
        <v>1458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1184</v>
      </c>
      <c r="C126" s="5" t="n">
        <v>381</v>
      </c>
      <c r="D126" s="5" t="n">
        <v>3854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1185</v>
      </c>
      <c r="C127" s="5" t="n">
        <v>376</v>
      </c>
      <c r="D127" s="5" t="n">
        <v>5454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1186</v>
      </c>
      <c r="C128" s="5" t="n">
        <v>372</v>
      </c>
      <c r="D128" s="5" t="n">
        <v>4507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1187</v>
      </c>
      <c r="C129" s="5" t="n">
        <v>372</v>
      </c>
      <c r="D129" s="5" t="n">
        <v>2397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1188</v>
      </c>
      <c r="C130" s="5" t="n">
        <v>370</v>
      </c>
      <c r="D130" s="5" t="n">
        <v>1600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1189</v>
      </c>
      <c r="C131" s="5" t="n">
        <v>367</v>
      </c>
      <c r="D131" s="5" t="n">
        <v>2467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1190</v>
      </c>
      <c r="C132" s="5" t="n">
        <v>365</v>
      </c>
      <c r="D132" s="5" t="n">
        <v>1667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1191</v>
      </c>
      <c r="C133" s="5" t="n">
        <v>361</v>
      </c>
      <c r="D133" s="5" t="n">
        <v>9591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1192</v>
      </c>
      <c r="C134" s="5" t="n">
        <v>360</v>
      </c>
      <c r="D134" s="5" t="n">
        <v>1081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1193</v>
      </c>
      <c r="C135" s="5" t="n">
        <v>357</v>
      </c>
      <c r="D135" s="5" t="n">
        <v>7002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1194</v>
      </c>
      <c r="C136" s="5" t="n">
        <v>356</v>
      </c>
      <c r="D136" s="5" t="n">
        <v>2899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1195</v>
      </c>
      <c r="C137" s="5" t="n">
        <v>354</v>
      </c>
      <c r="D137" s="5" t="n">
        <v>2099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1196</v>
      </c>
      <c r="C138" s="5" t="n">
        <v>353</v>
      </c>
      <c r="D138" s="5" t="n">
        <v>6051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1197</v>
      </c>
      <c r="C139" s="5" t="n">
        <v>345</v>
      </c>
      <c r="D139" s="5" t="n">
        <v>3243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1198</v>
      </c>
      <c r="C140" s="5" t="n">
        <v>339</v>
      </c>
      <c r="D140" s="5" t="n">
        <v>5060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1199</v>
      </c>
      <c r="C141" s="5" t="n">
        <v>338</v>
      </c>
      <c r="D141" s="5" t="n">
        <v>5760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1200</v>
      </c>
      <c r="C142" s="5" t="n">
        <v>338</v>
      </c>
      <c r="D142" s="5" t="n">
        <v>888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1201</v>
      </c>
      <c r="C143" s="5" t="n">
        <v>335</v>
      </c>
      <c r="D143" s="5" t="n">
        <v>2495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1202</v>
      </c>
      <c r="C144" s="5" t="n">
        <v>333</v>
      </c>
      <c r="D144" s="5" t="n">
        <v>4048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1203</v>
      </c>
      <c r="C145" s="5" t="n">
        <v>329</v>
      </c>
      <c r="D145" s="5" t="n">
        <v>1967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1204</v>
      </c>
      <c r="C146" s="5" t="n">
        <v>325</v>
      </c>
      <c r="D146" s="5" t="n">
        <v>110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1205</v>
      </c>
      <c r="C147" s="5" t="n">
        <v>324</v>
      </c>
      <c r="D147" s="5" t="n">
        <v>2240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1206</v>
      </c>
      <c r="C148" s="5" t="n">
        <v>318</v>
      </c>
      <c r="D148" s="5" t="n">
        <v>5660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1207</v>
      </c>
      <c r="C149" s="5" t="n">
        <v>317</v>
      </c>
      <c r="D149" s="5" t="n">
        <v>1923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1208</v>
      </c>
      <c r="C150" s="5" t="n">
        <v>316</v>
      </c>
      <c r="D150" s="5" t="n">
        <v>980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1209</v>
      </c>
      <c r="C151" s="5" t="n">
        <v>305</v>
      </c>
      <c r="D151" s="5" t="n">
        <v>4640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1210</v>
      </c>
      <c r="C152" s="5" t="n">
        <v>302</v>
      </c>
      <c r="D152" s="5" t="n">
        <v>2551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1211</v>
      </c>
      <c r="C153" s="5" t="n">
        <v>301</v>
      </c>
      <c r="D153" s="5" t="n">
        <v>9255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1212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1213</v>
      </c>
      <c r="C4" s="5" t="n">
        <v>11965</v>
      </c>
      <c r="D4" s="5" t="n">
        <v>90196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1214</v>
      </c>
      <c r="C5" s="5" t="n">
        <v>8717</v>
      </c>
      <c r="D5" s="5" t="n">
        <v>88464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1215</v>
      </c>
      <c r="C6" s="5" t="n">
        <v>6093</v>
      </c>
      <c r="D6" s="5" t="n">
        <v>54867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1216</v>
      </c>
      <c r="C7" s="5" t="n">
        <v>1734</v>
      </c>
      <c r="D7" s="5" t="n">
        <v>30312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1217</v>
      </c>
      <c r="C8" s="5" t="n">
        <v>1582</v>
      </c>
      <c r="D8" s="5" t="n">
        <v>23533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1218</v>
      </c>
      <c r="C9" s="5" t="n">
        <v>1450</v>
      </c>
      <c r="D9" s="5" t="n">
        <v>14775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1219</v>
      </c>
      <c r="C10" s="5" t="n">
        <v>1446</v>
      </c>
      <c r="D10" s="5" t="n">
        <v>8475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1220</v>
      </c>
      <c r="C11" s="5" t="n">
        <v>1266</v>
      </c>
      <c r="D11" s="5" t="n">
        <v>9059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1221</v>
      </c>
      <c r="C12" s="5" t="n">
        <v>1193</v>
      </c>
      <c r="D12" s="5" t="n">
        <v>37535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1222</v>
      </c>
      <c r="C13" s="5" t="n">
        <v>1125</v>
      </c>
      <c r="D13" s="5" t="n">
        <v>13003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1223</v>
      </c>
      <c r="C14" s="5" t="n">
        <v>1085</v>
      </c>
      <c r="D14" s="5" t="n">
        <v>9415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1224</v>
      </c>
      <c r="C15" s="5" t="n">
        <v>1029</v>
      </c>
      <c r="D15" s="5" t="n">
        <v>5819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1225</v>
      </c>
      <c r="C16" s="5" t="n">
        <v>936</v>
      </c>
      <c r="D16" s="5" t="n">
        <v>9165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1226</v>
      </c>
      <c r="C17" s="5" t="n">
        <v>903</v>
      </c>
      <c r="D17" s="5" t="n">
        <v>3404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1227</v>
      </c>
      <c r="C18" s="5" t="n">
        <v>859</v>
      </c>
      <c r="D18" s="5" t="n">
        <v>3324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1228</v>
      </c>
      <c r="C19" s="5" t="n">
        <v>825</v>
      </c>
      <c r="D19" s="5" t="n">
        <v>4320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1229</v>
      </c>
      <c r="C20" s="5" t="n">
        <v>767</v>
      </c>
      <c r="D20" s="5" t="n">
        <v>5257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1230</v>
      </c>
      <c r="C21" s="5" t="n">
        <v>640</v>
      </c>
      <c r="D21" s="5" t="n">
        <v>7591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1231</v>
      </c>
      <c r="C22" s="5" t="n">
        <v>590</v>
      </c>
      <c r="D22" s="5" t="n">
        <v>8969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1232</v>
      </c>
      <c r="C23" s="5" t="n">
        <v>539</v>
      </c>
      <c r="D23" s="5" t="n">
        <v>8217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1233</v>
      </c>
      <c r="C24" s="5" t="n">
        <v>531</v>
      </c>
      <c r="D24" s="5" t="n">
        <v>1602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1234</v>
      </c>
      <c r="C25" s="5" t="n">
        <v>530</v>
      </c>
      <c r="D25" s="5" t="n">
        <v>6007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1235</v>
      </c>
      <c r="C26" s="5" t="n">
        <v>513</v>
      </c>
      <c r="D26" s="5" t="n">
        <v>3615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1236</v>
      </c>
      <c r="C27" s="5" t="n">
        <v>501</v>
      </c>
      <c r="D27" s="5" t="n">
        <v>5801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1237</v>
      </c>
      <c r="C28" s="5" t="n">
        <v>478</v>
      </c>
      <c r="D28" s="5" t="n">
        <v>8829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1238</v>
      </c>
      <c r="C29" s="5" t="n">
        <v>477</v>
      </c>
      <c r="D29" s="5" t="n">
        <v>364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1239</v>
      </c>
      <c r="C30" s="5" t="n">
        <v>474</v>
      </c>
      <c r="D30" s="5" t="n">
        <v>2149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1240</v>
      </c>
      <c r="C31" s="5" t="n">
        <v>431</v>
      </c>
      <c r="D31" s="5" t="n">
        <v>1130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1241</v>
      </c>
      <c r="C32" s="5" t="n">
        <v>430</v>
      </c>
      <c r="D32" s="5" t="n">
        <v>5576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1242</v>
      </c>
      <c r="C33" s="5" t="n">
        <v>429</v>
      </c>
      <c r="D33" s="5" t="n">
        <v>6629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1243</v>
      </c>
      <c r="C34" s="5" t="n">
        <v>410</v>
      </c>
      <c r="D34" s="5" t="n">
        <v>1576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1244</v>
      </c>
      <c r="C35" s="5" t="n">
        <v>392</v>
      </c>
      <c r="D35" s="5" t="n">
        <v>1661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1245</v>
      </c>
      <c r="C36" s="5" t="n">
        <v>389</v>
      </c>
      <c r="D36" s="5" t="n">
        <v>3008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1246</v>
      </c>
      <c r="C37" s="5" t="n">
        <v>384</v>
      </c>
      <c r="D37" s="5" t="n">
        <v>5219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1247</v>
      </c>
      <c r="C38" s="5" t="n">
        <v>377</v>
      </c>
      <c r="D38" s="5" t="n">
        <v>4214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1248</v>
      </c>
      <c r="C39" s="5" t="n">
        <v>364</v>
      </c>
      <c r="D39" s="5" t="n">
        <v>3071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1249</v>
      </c>
      <c r="C40" s="5" t="n">
        <v>364</v>
      </c>
      <c r="D40" s="5" t="n">
        <v>2066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1250</v>
      </c>
      <c r="C41" s="5" t="n">
        <v>352</v>
      </c>
      <c r="D41" s="5" t="n">
        <v>2753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1251</v>
      </c>
      <c r="C42" s="5" t="n">
        <v>339</v>
      </c>
      <c r="D42" s="5" t="n">
        <v>5587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1252</v>
      </c>
      <c r="C43" s="5" t="n">
        <v>339</v>
      </c>
      <c r="D43" s="5" t="n">
        <v>1657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1253</v>
      </c>
      <c r="C44" s="5" t="n">
        <v>324</v>
      </c>
      <c r="D44" s="5" t="n">
        <v>1115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1254</v>
      </c>
      <c r="C45" s="5" t="n">
        <v>322</v>
      </c>
      <c r="D45" s="5" t="n">
        <v>0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1255</v>
      </c>
      <c r="C46" s="5" t="n">
        <v>320</v>
      </c>
      <c r="D46" s="5" t="n">
        <v>1254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1256</v>
      </c>
      <c r="C47" s="5" t="n">
        <v>316</v>
      </c>
      <c r="D47" s="5" t="n">
        <v>3162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1257</v>
      </c>
      <c r="C48" s="5" t="n">
        <v>305</v>
      </c>
      <c r="D48" s="5" t="n">
        <v>4033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1258</v>
      </c>
      <c r="C49" s="5" t="n">
        <v>296</v>
      </c>
      <c r="D49" s="5" t="n">
        <v>7904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1259</v>
      </c>
      <c r="C50" s="5" t="n">
        <v>281</v>
      </c>
      <c r="D50" s="5" t="n">
        <v>9738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1260</v>
      </c>
      <c r="C51" s="5" t="n">
        <v>281</v>
      </c>
      <c r="D51" s="5" t="n">
        <v>4367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1261</v>
      </c>
      <c r="C52" s="5" t="n">
        <v>281</v>
      </c>
      <c r="D52" s="5" t="n">
        <v>438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1262</v>
      </c>
      <c r="C53" s="5" t="n">
        <v>276</v>
      </c>
      <c r="D53" s="5" t="n">
        <v>2507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1263</v>
      </c>
      <c r="C54" s="5" t="n">
        <v>273</v>
      </c>
      <c r="D54" s="5" t="n">
        <v>383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1264</v>
      </c>
      <c r="C55" s="5" t="n">
        <v>272</v>
      </c>
      <c r="D55" s="5" t="n">
        <v>2530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1265</v>
      </c>
      <c r="C56" s="5" t="n">
        <v>271</v>
      </c>
      <c r="D56" s="5" t="n">
        <v>1375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1266</v>
      </c>
      <c r="C57" s="5" t="n">
        <v>262</v>
      </c>
      <c r="D57" s="5" t="n">
        <v>2477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1267</v>
      </c>
      <c r="C58" s="5" t="n">
        <v>251</v>
      </c>
      <c r="D58" s="5" t="n">
        <v>2996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1268</v>
      </c>
      <c r="C59" s="5" t="n">
        <v>247</v>
      </c>
      <c r="D59" s="5" t="n">
        <v>6196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1269</v>
      </c>
      <c r="C60" s="5" t="n">
        <v>242</v>
      </c>
      <c r="D60" s="5" t="n">
        <v>6333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1270</v>
      </c>
      <c r="C61" s="5" t="n">
        <v>241</v>
      </c>
      <c r="D61" s="5" t="n">
        <v>2271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1271</v>
      </c>
      <c r="C62" s="5" t="n">
        <v>235</v>
      </c>
      <c r="D62" s="5" t="n">
        <v>995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1272</v>
      </c>
      <c r="C63" s="5" t="n">
        <v>232</v>
      </c>
      <c r="D63" s="5" t="n">
        <v>5697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1273</v>
      </c>
      <c r="C64" s="5" t="n">
        <v>232</v>
      </c>
      <c r="D64" s="5" t="n">
        <v>2896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1274</v>
      </c>
      <c r="C65" s="5" t="n">
        <v>231</v>
      </c>
      <c r="D65" s="5" t="n">
        <v>1645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1275</v>
      </c>
      <c r="C66" s="5" t="n">
        <v>224</v>
      </c>
      <c r="D66" s="5" t="n">
        <v>4346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1276</v>
      </c>
      <c r="C67" s="5" t="n">
        <v>221</v>
      </c>
      <c r="D67" s="5" t="n">
        <v>1228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1277</v>
      </c>
      <c r="C68" s="5" t="n">
        <v>218</v>
      </c>
      <c r="D68" s="5" t="n">
        <v>8464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1278</v>
      </c>
      <c r="C69" s="5" t="n">
        <v>211</v>
      </c>
      <c r="D69" s="5" t="n">
        <v>2009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1279</v>
      </c>
      <c r="C70" s="5" t="n">
        <v>209</v>
      </c>
      <c r="D70" s="5" t="n">
        <v>2825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1280</v>
      </c>
      <c r="C71" s="5" t="n">
        <v>207</v>
      </c>
      <c r="D71" s="5" t="n">
        <v>2008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1281</v>
      </c>
      <c r="C72" s="5" t="n">
        <v>204</v>
      </c>
      <c r="D72" s="5" t="n">
        <v>4688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1282</v>
      </c>
      <c r="C73" s="5" t="n">
        <v>201</v>
      </c>
      <c r="D73" s="5" t="n">
        <v>689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1283</v>
      </c>
      <c r="C74" s="5" t="n">
        <v>199</v>
      </c>
      <c r="D74" s="5" t="n">
        <v>717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1284</v>
      </c>
      <c r="C75" s="5" t="n">
        <v>197</v>
      </c>
      <c r="D75" s="5" t="n">
        <v>1113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1285</v>
      </c>
      <c r="C76" s="5" t="n">
        <v>196</v>
      </c>
      <c r="D76" s="5" t="n">
        <v>1465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1286</v>
      </c>
      <c r="C77" s="5" t="n">
        <v>195</v>
      </c>
      <c r="D77" s="5" t="n">
        <v>731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1287</v>
      </c>
      <c r="C78" s="5" t="n">
        <v>195</v>
      </c>
      <c r="D78" s="5" t="n">
        <v>0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1288</v>
      </c>
      <c r="C79" s="5" t="n">
        <v>187</v>
      </c>
      <c r="D79" s="5" t="n">
        <v>989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1289</v>
      </c>
      <c r="C80" s="5" t="n">
        <v>186</v>
      </c>
      <c r="D80" s="5" t="n">
        <v>11310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1290</v>
      </c>
      <c r="C81" s="5" t="n">
        <v>186</v>
      </c>
      <c r="D81" s="5" t="n">
        <v>777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1291</v>
      </c>
      <c r="C82" s="5" t="n">
        <v>184</v>
      </c>
      <c r="D82" s="5" t="n">
        <v>5872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1292</v>
      </c>
      <c r="C83" s="5" t="n">
        <v>184</v>
      </c>
      <c r="D83" s="5" t="n">
        <v>947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1293</v>
      </c>
      <c r="C84" s="5" t="n">
        <v>183</v>
      </c>
      <c r="D84" s="5" t="n">
        <v>3239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1294</v>
      </c>
      <c r="C85" s="5" t="n">
        <v>182</v>
      </c>
      <c r="D85" s="5" t="n">
        <v>10486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1295</v>
      </c>
      <c r="C86" s="5" t="n">
        <v>182</v>
      </c>
      <c r="D86" s="5" t="n">
        <v>2952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1296</v>
      </c>
      <c r="C87" s="5" t="n">
        <v>182</v>
      </c>
      <c r="D87" s="5" t="n">
        <v>1835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1297</v>
      </c>
      <c r="C88" s="5" t="n">
        <v>178</v>
      </c>
      <c r="D88" s="5" t="n">
        <v>2013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1298</v>
      </c>
      <c r="C89" s="5" t="n">
        <v>177</v>
      </c>
      <c r="D89" s="5" t="n">
        <v>1629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1299</v>
      </c>
      <c r="C90" s="5" t="n">
        <v>176</v>
      </c>
      <c r="D90" s="5" t="n">
        <v>1949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1300</v>
      </c>
      <c r="C91" s="5" t="n">
        <v>169</v>
      </c>
      <c r="D91" s="5" t="n">
        <v>2176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1301</v>
      </c>
      <c r="C92" s="5" t="n">
        <v>168</v>
      </c>
      <c r="D92" s="5" t="n">
        <v>713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1302</v>
      </c>
      <c r="C93" s="5" t="n">
        <v>158</v>
      </c>
      <c r="D93" s="5" t="n">
        <v>1701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1303</v>
      </c>
      <c r="C94" s="5" t="n">
        <v>154</v>
      </c>
      <c r="D94" s="5" t="n">
        <v>1069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1304</v>
      </c>
      <c r="C95" s="5" t="n">
        <v>154</v>
      </c>
      <c r="D95" s="5" t="n">
        <v>549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1305</v>
      </c>
      <c r="C96" s="5" t="n">
        <v>152</v>
      </c>
      <c r="D96" s="5" t="n">
        <v>1241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1306</v>
      </c>
      <c r="C97" s="5" t="n">
        <v>150</v>
      </c>
      <c r="D97" s="5" t="n">
        <v>2115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1307</v>
      </c>
      <c r="C98" s="5" t="n">
        <v>149</v>
      </c>
      <c r="D98" s="5" t="n">
        <v>1311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1308</v>
      </c>
      <c r="C99" s="5" t="n">
        <v>148</v>
      </c>
      <c r="D99" s="5" t="n">
        <v>815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1309</v>
      </c>
      <c r="C100" s="5" t="n">
        <v>148</v>
      </c>
      <c r="D100" s="5" t="n">
        <v>236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1310</v>
      </c>
      <c r="C101" s="5" t="n">
        <v>147</v>
      </c>
      <c r="D101" s="5" t="n">
        <v>1685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1311</v>
      </c>
      <c r="C102" s="5" t="n">
        <v>145</v>
      </c>
      <c r="D102" s="5" t="n">
        <v>611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1312</v>
      </c>
      <c r="C103" s="5" t="n">
        <v>142</v>
      </c>
      <c r="D103" s="5" t="n">
        <v>4530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1313</v>
      </c>
      <c r="C104" s="5" t="n">
        <v>142</v>
      </c>
      <c r="D104" s="5" t="n">
        <v>366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1314</v>
      </c>
      <c r="C105" s="5" t="n">
        <v>141</v>
      </c>
      <c r="D105" s="5" t="n">
        <v>4966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1315</v>
      </c>
      <c r="C106" s="5" t="n">
        <v>140</v>
      </c>
      <c r="D106" s="5" t="n">
        <v>1669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1316</v>
      </c>
      <c r="C107" s="5" t="n">
        <v>138</v>
      </c>
      <c r="D107" s="5" t="n">
        <v>1483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1317</v>
      </c>
      <c r="C108" s="5" t="n">
        <v>137</v>
      </c>
      <c r="D108" s="5" t="n">
        <v>337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1318</v>
      </c>
      <c r="C109" s="5" t="n">
        <v>135</v>
      </c>
      <c r="D109" s="5" t="n">
        <v>847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1319</v>
      </c>
      <c r="C110" s="5" t="n">
        <v>130</v>
      </c>
      <c r="D110" s="5" t="n">
        <v>567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1320</v>
      </c>
      <c r="C111" s="5" t="n">
        <v>128</v>
      </c>
      <c r="D111" s="5" t="n">
        <v>352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1321</v>
      </c>
      <c r="C112" s="5" t="n">
        <v>127</v>
      </c>
      <c r="D112" s="5" t="n">
        <v>386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1322</v>
      </c>
      <c r="C113" s="5" t="n">
        <v>122</v>
      </c>
      <c r="D113" s="5" t="n">
        <v>356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1323</v>
      </c>
      <c r="C114" s="5" t="n">
        <v>121</v>
      </c>
      <c r="D114" s="5" t="n">
        <v>8136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1324</v>
      </c>
      <c r="C115" s="5" t="n">
        <v>120</v>
      </c>
      <c r="D115" s="5" t="n">
        <v>1285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1325</v>
      </c>
      <c r="C116" s="5" t="n">
        <v>118</v>
      </c>
      <c r="D116" s="5" t="n">
        <v>835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1326</v>
      </c>
      <c r="C117" s="5" t="n">
        <v>118</v>
      </c>
      <c r="D117" s="5" t="n">
        <v>293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1327</v>
      </c>
      <c r="C118" s="5" t="n">
        <v>117</v>
      </c>
      <c r="D118" s="5" t="n">
        <v>1353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1328</v>
      </c>
      <c r="C119" s="5" t="n">
        <v>117</v>
      </c>
      <c r="D119" s="5" t="n">
        <v>1027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1329</v>
      </c>
      <c r="C120" s="5" t="n">
        <v>117</v>
      </c>
      <c r="D120" s="5" t="n">
        <v>906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1330</v>
      </c>
      <c r="C121" s="5" t="n">
        <v>115</v>
      </c>
      <c r="D121" s="5" t="n">
        <v>1162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1331</v>
      </c>
      <c r="C122" s="5" t="n">
        <v>114</v>
      </c>
      <c r="D122" s="5" t="n">
        <v>729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1332</v>
      </c>
      <c r="C123" s="5" t="n">
        <v>114</v>
      </c>
      <c r="D123" s="5" t="n">
        <v>128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1333</v>
      </c>
      <c r="C124" s="5" t="n">
        <v>113</v>
      </c>
      <c r="D124" s="5" t="n">
        <v>1376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1334</v>
      </c>
      <c r="C125" s="5" t="n">
        <v>113</v>
      </c>
      <c r="D125" s="5" t="n">
        <v>823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1335</v>
      </c>
      <c r="C126" s="5" t="n">
        <v>113</v>
      </c>
      <c r="D126" s="5" t="n">
        <v>305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1336</v>
      </c>
      <c r="C127" s="5" t="n">
        <v>109</v>
      </c>
      <c r="D127" s="5" t="n">
        <v>97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1337</v>
      </c>
      <c r="C128" s="5" t="n">
        <v>108</v>
      </c>
      <c r="D128" s="5" t="n">
        <v>41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1338</v>
      </c>
      <c r="C129" s="5" t="n">
        <v>107</v>
      </c>
      <c r="D129" s="5" t="n">
        <v>930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1339</v>
      </c>
      <c r="C130" s="5" t="n">
        <v>105</v>
      </c>
      <c r="D130" s="5" t="n">
        <v>261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1340</v>
      </c>
      <c r="C131" s="5" t="n">
        <v>101</v>
      </c>
      <c r="D131" s="5" t="n">
        <v>780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1341</v>
      </c>
      <c r="C132" s="5" t="n">
        <v>100</v>
      </c>
      <c r="D132" s="5" t="n">
        <v>1484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1342</v>
      </c>
      <c r="C133" s="5" t="n">
        <v>100</v>
      </c>
      <c r="D133" s="5" t="n">
        <v>191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1343</v>
      </c>
      <c r="C134" s="5" t="n">
        <v>95</v>
      </c>
      <c r="D134" s="5" t="n">
        <v>1595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1344</v>
      </c>
      <c r="C135" s="5" t="n">
        <v>94</v>
      </c>
      <c r="D135" s="5" t="n">
        <v>1232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1345</v>
      </c>
      <c r="C136" s="5" t="n">
        <v>94</v>
      </c>
      <c r="D136" s="5" t="n">
        <v>1119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1346</v>
      </c>
      <c r="C137" s="5" t="n">
        <v>93</v>
      </c>
      <c r="D137" s="5" t="n">
        <v>142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1347</v>
      </c>
      <c r="C138" s="5" t="n">
        <v>92</v>
      </c>
      <c r="D138" s="5" t="n">
        <v>1199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1348</v>
      </c>
      <c r="C139" s="5" t="n">
        <v>92</v>
      </c>
      <c r="D139" s="5" t="n">
        <v>35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1349</v>
      </c>
      <c r="C140" s="5" t="n">
        <v>91</v>
      </c>
      <c r="D140" s="5" t="n">
        <v>897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1350</v>
      </c>
      <c r="C141" s="5" t="n">
        <v>90</v>
      </c>
      <c r="D141" s="5" t="n">
        <v>4211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1351</v>
      </c>
      <c r="C142" s="5" t="n">
        <v>90</v>
      </c>
      <c r="D142" s="5" t="n">
        <v>2391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1352</v>
      </c>
      <c r="C143" s="5" t="n">
        <v>90</v>
      </c>
      <c r="D143" s="5" t="n">
        <v>296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1353</v>
      </c>
      <c r="C144" s="5" t="n">
        <v>89</v>
      </c>
      <c r="D144" s="5" t="n">
        <v>769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1354</v>
      </c>
      <c r="C145" s="5" t="n">
        <v>88</v>
      </c>
      <c r="D145" s="5" t="n">
        <v>517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1355</v>
      </c>
      <c r="C146" s="5" t="n">
        <v>88</v>
      </c>
      <c r="D146" s="5" t="n">
        <v>155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1356</v>
      </c>
      <c r="C147" s="5" t="n">
        <v>86</v>
      </c>
      <c r="D147" s="5" t="n">
        <v>2193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1357</v>
      </c>
      <c r="C148" s="5" t="n">
        <v>85</v>
      </c>
      <c r="D148" s="5" t="n">
        <v>1314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1358</v>
      </c>
      <c r="C149" s="5" t="n">
        <v>85</v>
      </c>
      <c r="D149" s="5" t="n">
        <v>953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1359</v>
      </c>
      <c r="C150" s="5" t="n">
        <v>83</v>
      </c>
      <c r="D150" s="5" t="n">
        <v>7711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1360</v>
      </c>
      <c r="C151" s="5" t="n">
        <v>83</v>
      </c>
      <c r="D151" s="5" t="n">
        <v>33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1361</v>
      </c>
      <c r="C152" s="5" t="n">
        <v>82</v>
      </c>
      <c r="D152" s="5" t="n">
        <v>617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1362</v>
      </c>
      <c r="C153" s="5" t="n">
        <v>82</v>
      </c>
      <c r="D153" s="5" t="n">
        <v>363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1363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1364</v>
      </c>
      <c r="C4" s="5" t="n">
        <v>51681</v>
      </c>
      <c r="D4" s="5" t="n">
        <v>501374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1365</v>
      </c>
      <c r="C5" s="5" t="n">
        <v>36425</v>
      </c>
      <c r="D5" s="5" t="n">
        <v>506314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1366</v>
      </c>
      <c r="C6" s="5" t="n">
        <v>16563</v>
      </c>
      <c r="D6" s="5" t="n">
        <v>141791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1367</v>
      </c>
      <c r="C7" s="5" t="n">
        <v>14738</v>
      </c>
      <c r="D7" s="5" t="n">
        <v>143277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1368</v>
      </c>
      <c r="C8" s="5" t="n">
        <v>14539</v>
      </c>
      <c r="D8" s="5" t="n">
        <v>75094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1369</v>
      </c>
      <c r="C9" s="5" t="n">
        <v>11558</v>
      </c>
      <c r="D9" s="5" t="n">
        <v>110741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1370</v>
      </c>
      <c r="C10" s="5" t="n">
        <v>10720</v>
      </c>
      <c r="D10" s="5" t="n">
        <v>174522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1371</v>
      </c>
      <c r="C11" s="5" t="n">
        <v>10345</v>
      </c>
      <c r="D11" s="5" t="n">
        <v>87791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1372</v>
      </c>
      <c r="C12" s="5" t="n">
        <v>5916</v>
      </c>
      <c r="D12" s="5" t="n">
        <v>50911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1373</v>
      </c>
      <c r="C13" s="5" t="n">
        <v>5420</v>
      </c>
      <c r="D13" s="5" t="n">
        <v>41260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1374</v>
      </c>
      <c r="C14" s="5" t="n">
        <v>5314</v>
      </c>
      <c r="D14" s="5" t="n">
        <v>32370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1375</v>
      </c>
      <c r="C15" s="5" t="n">
        <v>5146</v>
      </c>
      <c r="D15" s="5" t="n">
        <v>15577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1376</v>
      </c>
      <c r="C16" s="5" t="n">
        <v>4789</v>
      </c>
      <c r="D16" s="5" t="n">
        <v>57922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1377</v>
      </c>
      <c r="C17" s="5" t="n">
        <v>4724</v>
      </c>
      <c r="D17" s="5" t="n">
        <v>7462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1378</v>
      </c>
      <c r="C18" s="5" t="n">
        <v>4092</v>
      </c>
      <c r="D18" s="5" t="n">
        <v>28660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1379</v>
      </c>
      <c r="C19" s="5" t="n">
        <v>3785</v>
      </c>
      <c r="D19" s="5" t="n">
        <v>31715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1380</v>
      </c>
      <c r="C20" s="5" t="n">
        <v>3491</v>
      </c>
      <c r="D20" s="5" t="n">
        <v>17143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1381</v>
      </c>
      <c r="C21" s="5" t="n">
        <v>3008</v>
      </c>
      <c r="D21" s="5" t="n">
        <v>21121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1382</v>
      </c>
      <c r="C22" s="5" t="n">
        <v>2835</v>
      </c>
      <c r="D22" s="5" t="n">
        <v>19574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1383</v>
      </c>
      <c r="C23" s="5" t="n">
        <v>2810</v>
      </c>
      <c r="D23" s="5" t="n">
        <v>31865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1384</v>
      </c>
      <c r="C24" s="5" t="n">
        <v>2777</v>
      </c>
      <c r="D24" s="5" t="n">
        <v>40210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1385</v>
      </c>
      <c r="C25" s="5" t="n">
        <v>2692</v>
      </c>
      <c r="D25" s="5" t="n">
        <v>21188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1386</v>
      </c>
      <c r="C26" s="5" t="n">
        <v>2682</v>
      </c>
      <c r="D26" s="5" t="n">
        <v>4971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1387</v>
      </c>
      <c r="C27" s="5" t="n">
        <v>2248</v>
      </c>
      <c r="D27" s="5" t="n">
        <v>33721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1388</v>
      </c>
      <c r="C28" s="5" t="n">
        <v>2171</v>
      </c>
      <c r="D28" s="5" t="n">
        <v>11784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1389</v>
      </c>
      <c r="C29" s="5" t="n">
        <v>1926</v>
      </c>
      <c r="D29" s="5" t="n">
        <v>13932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1390</v>
      </c>
      <c r="C30" s="5" t="n">
        <v>1762</v>
      </c>
      <c r="D30" s="5" t="n">
        <v>13173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1391</v>
      </c>
      <c r="C31" s="5" t="n">
        <v>1747</v>
      </c>
      <c r="D31" s="5" t="n">
        <v>17421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1392</v>
      </c>
      <c r="C32" s="5" t="n">
        <v>1744</v>
      </c>
      <c r="D32" s="5" t="n">
        <v>14155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1393</v>
      </c>
      <c r="C33" s="5" t="n">
        <v>1710</v>
      </c>
      <c r="D33" s="5" t="n">
        <v>11658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1394</v>
      </c>
      <c r="C34" s="5" t="n">
        <v>1673</v>
      </c>
      <c r="D34" s="5" t="n">
        <v>13753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1395</v>
      </c>
      <c r="C35" s="5" t="n">
        <v>1596</v>
      </c>
      <c r="D35" s="5" t="n">
        <v>15993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1396</v>
      </c>
      <c r="C36" s="5" t="n">
        <v>1497</v>
      </c>
      <c r="D36" s="5" t="n">
        <v>17261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1397</v>
      </c>
      <c r="C37" s="5" t="n">
        <v>1485</v>
      </c>
      <c r="D37" s="5" t="n">
        <v>24889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1398</v>
      </c>
      <c r="C38" s="5" t="n">
        <v>1460</v>
      </c>
      <c r="D38" s="5" t="n">
        <v>3083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1399</v>
      </c>
      <c r="C39" s="5" t="n">
        <v>1431</v>
      </c>
      <c r="D39" s="5" t="n">
        <v>2877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1400</v>
      </c>
      <c r="C40" s="5" t="n">
        <v>1425</v>
      </c>
      <c r="D40" s="5" t="n">
        <v>8801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1401</v>
      </c>
      <c r="C41" s="5" t="n">
        <v>1421</v>
      </c>
      <c r="D41" s="5" t="n">
        <v>7714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1402</v>
      </c>
      <c r="C42" s="5" t="n">
        <v>1389</v>
      </c>
      <c r="D42" s="5" t="n">
        <v>5917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1403</v>
      </c>
      <c r="C43" s="5" t="n">
        <v>1360</v>
      </c>
      <c r="D43" s="5" t="n">
        <v>12671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1404</v>
      </c>
      <c r="C44" s="5" t="n">
        <v>1354</v>
      </c>
      <c r="D44" s="5" t="n">
        <v>24350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1405</v>
      </c>
      <c r="C45" s="5" t="n">
        <v>1191</v>
      </c>
      <c r="D45" s="5" t="n">
        <v>7600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1406</v>
      </c>
      <c r="C46" s="5" t="n">
        <v>1153</v>
      </c>
      <c r="D46" s="5" t="n">
        <v>0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1407</v>
      </c>
      <c r="C47" s="5" t="n">
        <v>1117</v>
      </c>
      <c r="D47" s="5" t="n">
        <v>19470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1408</v>
      </c>
      <c r="C48" s="5" t="n">
        <v>1113</v>
      </c>
      <c r="D48" s="5" t="n">
        <v>9031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1409</v>
      </c>
      <c r="C49" s="5" t="n">
        <v>1102</v>
      </c>
      <c r="D49" s="5" t="n">
        <v>16224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1410</v>
      </c>
      <c r="C50" s="5" t="n">
        <v>1024</v>
      </c>
      <c r="D50" s="5" t="n">
        <v>6145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1411</v>
      </c>
      <c r="C51" s="5" t="n">
        <v>1020</v>
      </c>
      <c r="D51" s="5" t="n">
        <v>6863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1412</v>
      </c>
      <c r="C52" s="5" t="n">
        <v>1014</v>
      </c>
      <c r="D52" s="5" t="n">
        <v>3398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1413</v>
      </c>
      <c r="C53" s="5" t="n">
        <v>1005</v>
      </c>
      <c r="D53" s="5" t="n">
        <v>9423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1414</v>
      </c>
      <c r="C54" s="5" t="n">
        <v>1000</v>
      </c>
      <c r="D54" s="5" t="n">
        <v>10069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1415</v>
      </c>
      <c r="C55" s="5" t="n">
        <v>992</v>
      </c>
      <c r="D55" s="5" t="n">
        <v>4022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1416</v>
      </c>
      <c r="C56" s="5" t="n">
        <v>977</v>
      </c>
      <c r="D56" s="5" t="n">
        <v>10163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1417</v>
      </c>
      <c r="C57" s="5" t="n">
        <v>972</v>
      </c>
      <c r="D57" s="5" t="n">
        <v>4941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1418</v>
      </c>
      <c r="C58" s="5" t="n">
        <v>970</v>
      </c>
      <c r="D58" s="5" t="n">
        <v>15150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1419</v>
      </c>
      <c r="C59" s="5" t="n">
        <v>957</v>
      </c>
      <c r="D59" s="5" t="n">
        <v>24359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1420</v>
      </c>
      <c r="C60" s="5" t="n">
        <v>953</v>
      </c>
      <c r="D60" s="5" t="n">
        <v>9975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1421</v>
      </c>
      <c r="C61" s="5" t="n">
        <v>952</v>
      </c>
      <c r="D61" s="5" t="n">
        <v>6215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1422</v>
      </c>
      <c r="C62" s="5" t="n">
        <v>943</v>
      </c>
      <c r="D62" s="5" t="n">
        <v>6514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1423</v>
      </c>
      <c r="C63" s="5" t="n">
        <v>940</v>
      </c>
      <c r="D63" s="5" t="n">
        <v>10064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1424</v>
      </c>
      <c r="C64" s="5" t="n">
        <v>906</v>
      </c>
      <c r="D64" s="5" t="n">
        <v>6467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1425</v>
      </c>
      <c r="C65" s="5" t="n">
        <v>895</v>
      </c>
      <c r="D65" s="5" t="n">
        <v>2446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1426</v>
      </c>
      <c r="C66" s="5" t="n">
        <v>892</v>
      </c>
      <c r="D66" s="5" t="n">
        <v>5430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1427</v>
      </c>
      <c r="C67" s="5" t="n">
        <v>882</v>
      </c>
      <c r="D67" s="5" t="n">
        <v>5091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1428</v>
      </c>
      <c r="C68" s="5" t="n">
        <v>880</v>
      </c>
      <c r="D68" s="5" t="n">
        <v>2563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1429</v>
      </c>
      <c r="C69" s="5" t="n">
        <v>873</v>
      </c>
      <c r="D69" s="5" t="n">
        <v>5847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1430</v>
      </c>
      <c r="C70" s="5" t="n">
        <v>819</v>
      </c>
      <c r="D70" s="5" t="n">
        <v>7331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1431</v>
      </c>
      <c r="C71" s="5" t="n">
        <v>798</v>
      </c>
      <c r="D71" s="5" t="n">
        <v>2986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1432</v>
      </c>
      <c r="C72" s="5" t="n">
        <v>785</v>
      </c>
      <c r="D72" s="5" t="n">
        <v>20067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1433</v>
      </c>
      <c r="C73" s="5" t="n">
        <v>765</v>
      </c>
      <c r="D73" s="5" t="n">
        <v>5461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1434</v>
      </c>
      <c r="C74" s="5" t="n">
        <v>764</v>
      </c>
      <c r="D74" s="5" t="n">
        <v>3856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1435</v>
      </c>
      <c r="C75" s="5" t="n">
        <v>749</v>
      </c>
      <c r="D75" s="5" t="n">
        <v>3014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1436</v>
      </c>
      <c r="C76" s="5" t="n">
        <v>729</v>
      </c>
      <c r="D76" s="5" t="n">
        <v>15594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1437</v>
      </c>
      <c r="C77" s="5" t="n">
        <v>728</v>
      </c>
      <c r="D77" s="5" t="n">
        <v>6645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1438</v>
      </c>
      <c r="C78" s="5" t="n">
        <v>697</v>
      </c>
      <c r="D78" s="5" t="n">
        <v>7861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1439</v>
      </c>
      <c r="C79" s="5" t="n">
        <v>684</v>
      </c>
      <c r="D79" s="5" t="n">
        <v>9062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1440</v>
      </c>
      <c r="C80" s="5" t="n">
        <v>654</v>
      </c>
      <c r="D80" s="5" t="n">
        <v>2636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1441</v>
      </c>
      <c r="C81" s="5" t="n">
        <v>645</v>
      </c>
      <c r="D81" s="5" t="n">
        <v>1003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1442</v>
      </c>
      <c r="C82" s="5" t="n">
        <v>616</v>
      </c>
      <c r="D82" s="5" t="n">
        <v>8452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1443</v>
      </c>
      <c r="C83" s="5" t="n">
        <v>610</v>
      </c>
      <c r="D83" s="5" t="n">
        <v>9855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1444</v>
      </c>
      <c r="C84" s="5" t="n">
        <v>599</v>
      </c>
      <c r="D84" s="5" t="n">
        <v>19026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1445</v>
      </c>
      <c r="C85" s="5" t="n">
        <v>597</v>
      </c>
      <c r="D85" s="5" t="n">
        <v>13845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1446</v>
      </c>
      <c r="C86" s="5" t="n">
        <v>583</v>
      </c>
      <c r="D86" s="5" t="n">
        <v>8052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1447</v>
      </c>
      <c r="C87" s="5" t="n">
        <v>573</v>
      </c>
      <c r="D87" s="5" t="n">
        <v>2527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1448</v>
      </c>
      <c r="C88" s="5" t="n">
        <v>571</v>
      </c>
      <c r="D88" s="5" t="n">
        <v>4428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1449</v>
      </c>
      <c r="C89" s="5" t="n">
        <v>534</v>
      </c>
      <c r="D89" s="5" t="n">
        <v>5438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1450</v>
      </c>
      <c r="C90" s="5" t="n">
        <v>524</v>
      </c>
      <c r="D90" s="5" t="n">
        <v>9465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1451</v>
      </c>
      <c r="C91" s="5" t="n">
        <v>511</v>
      </c>
      <c r="D91" s="5" t="n">
        <v>12538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1452</v>
      </c>
      <c r="C92" s="5" t="n">
        <v>503</v>
      </c>
      <c r="D92" s="5" t="n">
        <v>3871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1453</v>
      </c>
      <c r="C93" s="5" t="n">
        <v>502</v>
      </c>
      <c r="D93" s="5" t="n">
        <v>23177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1454</v>
      </c>
      <c r="C94" s="5" t="n">
        <v>498</v>
      </c>
      <c r="D94" s="5" t="n">
        <v>5049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1455</v>
      </c>
      <c r="C95" s="5" t="n">
        <v>487</v>
      </c>
      <c r="D95" s="5" t="n">
        <v>9471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1456</v>
      </c>
      <c r="C96" s="5" t="n">
        <v>483</v>
      </c>
      <c r="D96" s="5" t="n">
        <v>2140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1457</v>
      </c>
      <c r="C97" s="5" t="n">
        <v>469</v>
      </c>
      <c r="D97" s="5" t="n">
        <v>10243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1458</v>
      </c>
      <c r="C98" s="5" t="n">
        <v>465</v>
      </c>
      <c r="D98" s="5" t="n">
        <v>13469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1459</v>
      </c>
      <c r="C99" s="5" t="n">
        <v>465</v>
      </c>
      <c r="D99" s="5" t="n">
        <v>1105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1460</v>
      </c>
      <c r="C100" s="5" t="n">
        <v>463</v>
      </c>
      <c r="D100" s="5" t="n">
        <v>6848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1461</v>
      </c>
      <c r="C101" s="5" t="n">
        <v>461</v>
      </c>
      <c r="D101" s="5" t="n">
        <v>4652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1462</v>
      </c>
      <c r="C102" s="5" t="n">
        <v>459</v>
      </c>
      <c r="D102" s="5" t="n">
        <v>4857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1463</v>
      </c>
      <c r="C103" s="5" t="n">
        <v>454</v>
      </c>
      <c r="D103" s="5" t="n">
        <v>1606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1464</v>
      </c>
      <c r="C104" s="5" t="n">
        <v>443</v>
      </c>
      <c r="D104" s="5" t="n">
        <v>2078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1465</v>
      </c>
      <c r="C105" s="5" t="n">
        <v>429</v>
      </c>
      <c r="D105" s="5" t="n">
        <v>2944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1466</v>
      </c>
      <c r="C106" s="5" t="n">
        <v>427</v>
      </c>
      <c r="D106" s="5" t="n">
        <v>3086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1467</v>
      </c>
      <c r="C107" s="5" t="n">
        <v>416</v>
      </c>
      <c r="D107" s="5" t="n">
        <v>9034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1468</v>
      </c>
      <c r="C108" s="5" t="n">
        <v>416</v>
      </c>
      <c r="D108" s="5" t="n">
        <v>3948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1469</v>
      </c>
      <c r="C109" s="5" t="n">
        <v>407</v>
      </c>
      <c r="D109" s="5" t="n">
        <v>2642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1470</v>
      </c>
      <c r="C110" s="5" t="n">
        <v>405</v>
      </c>
      <c r="D110" s="5" t="n">
        <v>18121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1471</v>
      </c>
      <c r="C111" s="5" t="n">
        <v>401</v>
      </c>
      <c r="D111" s="5" t="n">
        <v>11058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1472</v>
      </c>
      <c r="C112" s="5" t="n">
        <v>398</v>
      </c>
      <c r="D112" s="5" t="n">
        <v>1641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1473</v>
      </c>
      <c r="C113" s="5" t="n">
        <v>386</v>
      </c>
      <c r="D113" s="5" t="n">
        <v>8021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1474</v>
      </c>
      <c r="C114" s="5" t="n">
        <v>386</v>
      </c>
      <c r="D114" s="5" t="n">
        <v>1082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1475</v>
      </c>
      <c r="C115" s="5" t="n">
        <v>378</v>
      </c>
      <c r="D115" s="5" t="n">
        <v>7624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1476</v>
      </c>
      <c r="C116" s="5" t="n">
        <v>374</v>
      </c>
      <c r="D116" s="5" t="n">
        <v>7464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1477</v>
      </c>
      <c r="C117" s="5" t="n">
        <v>374</v>
      </c>
      <c r="D117" s="5" t="n">
        <v>1486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1478</v>
      </c>
      <c r="C118" s="5" t="n">
        <v>372</v>
      </c>
      <c r="D118" s="5" t="n">
        <v>24816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1479</v>
      </c>
      <c r="C119" s="5" t="n">
        <v>372</v>
      </c>
      <c r="D119" s="5" t="n">
        <v>10764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1480</v>
      </c>
      <c r="C120" s="5" t="n">
        <v>369</v>
      </c>
      <c r="D120" s="5" t="n">
        <v>1762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1481</v>
      </c>
      <c r="C121" s="5" t="n">
        <v>363</v>
      </c>
      <c r="D121" s="5" t="n">
        <v>5099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1482</v>
      </c>
      <c r="C122" s="5" t="n">
        <v>358</v>
      </c>
      <c r="D122" s="5" t="n">
        <v>11552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1483</v>
      </c>
      <c r="C123" s="5" t="n">
        <v>356</v>
      </c>
      <c r="D123" s="5" t="n">
        <v>1023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1484</v>
      </c>
      <c r="C124" s="5" t="n">
        <v>347</v>
      </c>
      <c r="D124" s="5" t="n">
        <v>7894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1485</v>
      </c>
      <c r="C125" s="5" t="n">
        <v>346</v>
      </c>
      <c r="D125" s="5" t="n">
        <v>1189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1486</v>
      </c>
      <c r="C126" s="5" t="n">
        <v>343</v>
      </c>
      <c r="D126" s="5" t="n">
        <v>6593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1487</v>
      </c>
      <c r="C127" s="5" t="n">
        <v>338</v>
      </c>
      <c r="D127" s="5" t="n">
        <v>2660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1488</v>
      </c>
      <c r="C128" s="5" t="n">
        <v>337</v>
      </c>
      <c r="D128" s="5" t="n">
        <v>3706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1489</v>
      </c>
      <c r="C129" s="5" t="n">
        <v>336</v>
      </c>
      <c r="D129" s="5" t="n">
        <v>2562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1490</v>
      </c>
      <c r="C130" s="5" t="n">
        <v>336</v>
      </c>
      <c r="D130" s="5" t="n">
        <v>943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1491</v>
      </c>
      <c r="C131" s="5" t="n">
        <v>334</v>
      </c>
      <c r="D131" s="5" t="n">
        <v>1612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1492</v>
      </c>
      <c r="C132" s="5" t="n">
        <v>330</v>
      </c>
      <c r="D132" s="5" t="n">
        <v>5377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1493</v>
      </c>
      <c r="C133" s="5" t="n">
        <v>330</v>
      </c>
      <c r="D133" s="5" t="n">
        <v>1109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1494</v>
      </c>
      <c r="C134" s="5" t="n">
        <v>315</v>
      </c>
      <c r="D134" s="5" t="n">
        <v>5755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1495</v>
      </c>
      <c r="C135" s="5" t="n">
        <v>315</v>
      </c>
      <c r="D135" s="5" t="n">
        <v>708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1496</v>
      </c>
      <c r="C136" s="5" t="n">
        <v>313</v>
      </c>
      <c r="D136" s="5" t="n">
        <v>4079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1497</v>
      </c>
      <c r="C137" s="5" t="n">
        <v>311</v>
      </c>
      <c r="D137" s="5" t="n">
        <v>2004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1498</v>
      </c>
      <c r="C138" s="5" t="n">
        <v>310</v>
      </c>
      <c r="D138" s="5" t="n">
        <v>3650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1499</v>
      </c>
      <c r="C139" s="5" t="n">
        <v>309</v>
      </c>
      <c r="D139" s="5" t="n">
        <v>10679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1500</v>
      </c>
      <c r="C140" s="5" t="n">
        <v>309</v>
      </c>
      <c r="D140" s="5" t="n">
        <v>2326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1501</v>
      </c>
      <c r="C141" s="5" t="n">
        <v>306</v>
      </c>
      <c r="D141" s="5" t="n">
        <v>3212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1502</v>
      </c>
      <c r="C142" s="5" t="n">
        <v>305</v>
      </c>
      <c r="D142" s="5" t="n">
        <v>1245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1503</v>
      </c>
      <c r="C143" s="5" t="n">
        <v>301</v>
      </c>
      <c r="D143" s="5" t="n">
        <v>1083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1504</v>
      </c>
      <c r="C144" s="5" t="n">
        <v>299</v>
      </c>
      <c r="D144" s="5" t="n">
        <v>5448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1505</v>
      </c>
      <c r="C145" s="5" t="n">
        <v>297</v>
      </c>
      <c r="D145" s="5" t="n">
        <v>10239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1506</v>
      </c>
      <c r="C146" s="5" t="n">
        <v>296</v>
      </c>
      <c r="D146" s="5" t="n">
        <v>8148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1507</v>
      </c>
      <c r="C147" s="5" t="n">
        <v>295</v>
      </c>
      <c r="D147" s="5" t="n">
        <v>10450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1508</v>
      </c>
      <c r="C148" s="5" t="n">
        <v>295</v>
      </c>
      <c r="D148" s="5" t="n">
        <v>4523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1509</v>
      </c>
      <c r="C149" s="5" t="n">
        <v>292</v>
      </c>
      <c r="D149" s="5" t="n">
        <v>7472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1510</v>
      </c>
      <c r="C150" s="5" t="n">
        <v>290</v>
      </c>
      <c r="D150" s="5" t="n">
        <v>2154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1511</v>
      </c>
      <c r="C151" s="5" t="n">
        <v>284</v>
      </c>
      <c r="D151" s="5" t="n">
        <v>3775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1512</v>
      </c>
      <c r="C152" s="5" t="n">
        <v>284</v>
      </c>
      <c r="D152" s="5" t="n">
        <v>1862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1513</v>
      </c>
      <c r="C153" s="5" t="n">
        <v>283</v>
      </c>
      <c r="D153" s="5" t="n">
        <v>2229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1514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1515</v>
      </c>
      <c r="C4" s="5" t="n">
        <v>5138</v>
      </c>
      <c r="D4" s="5" t="n">
        <v>110905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1516</v>
      </c>
      <c r="C5" s="5" t="n">
        <v>4583</v>
      </c>
      <c r="D5" s="5" t="n">
        <v>68911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1517</v>
      </c>
      <c r="C6" s="5" t="n">
        <v>2619</v>
      </c>
      <c r="D6" s="5" t="n">
        <v>67639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1518</v>
      </c>
      <c r="C7" s="5" t="n">
        <v>2506</v>
      </c>
      <c r="D7" s="5" t="n">
        <v>12356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1519</v>
      </c>
      <c r="C8" s="5" t="n">
        <v>2405</v>
      </c>
      <c r="D8" s="5" t="n">
        <v>4873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1520</v>
      </c>
      <c r="C9" s="5" t="n">
        <v>1613</v>
      </c>
      <c r="D9" s="5" t="n">
        <v>32385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1521</v>
      </c>
      <c r="C10" s="5" t="n">
        <v>1395</v>
      </c>
      <c r="D10" s="5" t="n">
        <v>3892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1522</v>
      </c>
      <c r="C11" s="5" t="n">
        <v>1390</v>
      </c>
      <c r="D11" s="5" t="n">
        <v>15311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1523</v>
      </c>
      <c r="C12" s="5" t="n">
        <v>1250</v>
      </c>
      <c r="D12" s="5" t="n">
        <v>14902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1524</v>
      </c>
      <c r="C13" s="5" t="n">
        <v>1185</v>
      </c>
      <c r="D13" s="5" t="n">
        <v>9736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1525</v>
      </c>
      <c r="C14" s="5" t="n">
        <v>1112</v>
      </c>
      <c r="D14" s="5" t="n">
        <v>23191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1526</v>
      </c>
      <c r="C15" s="5" t="n">
        <v>854</v>
      </c>
      <c r="D15" s="5" t="n">
        <v>4270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1527</v>
      </c>
      <c r="C16" s="5" t="n">
        <v>806</v>
      </c>
      <c r="D16" s="5" t="n">
        <v>8574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1528</v>
      </c>
      <c r="C17" s="5" t="n">
        <v>793</v>
      </c>
      <c r="D17" s="5" t="n">
        <v>11274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1529</v>
      </c>
      <c r="C18" s="5" t="n">
        <v>788</v>
      </c>
      <c r="D18" s="5" t="n">
        <v>7794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1530</v>
      </c>
      <c r="C19" s="5" t="n">
        <v>752</v>
      </c>
      <c r="D19" s="5" t="n">
        <v>2383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1531</v>
      </c>
      <c r="C20" s="5" t="n">
        <v>739</v>
      </c>
      <c r="D20" s="5" t="n">
        <v>13487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1532</v>
      </c>
      <c r="C21" s="5" t="n">
        <v>732</v>
      </c>
      <c r="D21" s="5" t="n">
        <v>0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1533</v>
      </c>
      <c r="C22" s="5" t="n">
        <v>728</v>
      </c>
      <c r="D22" s="5" t="n">
        <v>10561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1534</v>
      </c>
      <c r="C23" s="5" t="n">
        <v>663</v>
      </c>
      <c r="D23" s="5" t="n">
        <v>4950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1535</v>
      </c>
      <c r="C24" s="5" t="n">
        <v>651</v>
      </c>
      <c r="D24" s="5" t="n">
        <v>1814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1536</v>
      </c>
      <c r="C25" s="5" t="n">
        <v>650</v>
      </c>
      <c r="D25" s="5" t="n">
        <v>2926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1537</v>
      </c>
      <c r="C26" s="5" t="n">
        <v>607</v>
      </c>
      <c r="D26" s="5" t="n">
        <v>8387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1538</v>
      </c>
      <c r="C27" s="5" t="n">
        <v>589</v>
      </c>
      <c r="D27" s="5" t="n">
        <v>9779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1539</v>
      </c>
      <c r="C28" s="5" t="n">
        <v>586</v>
      </c>
      <c r="D28" s="5" t="n">
        <v>6073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1540</v>
      </c>
      <c r="C29" s="5" t="n">
        <v>520</v>
      </c>
      <c r="D29" s="5" t="n">
        <v>977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1541</v>
      </c>
      <c r="C30" s="5" t="n">
        <v>507</v>
      </c>
      <c r="D30" s="5" t="n">
        <v>4150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1542</v>
      </c>
      <c r="C31" s="5" t="n">
        <v>495</v>
      </c>
      <c r="D31" s="5" t="n">
        <v>12796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1543</v>
      </c>
      <c r="C32" s="5" t="n">
        <v>492</v>
      </c>
      <c r="D32" s="5" t="n">
        <v>12241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1544</v>
      </c>
      <c r="C33" s="5" t="n">
        <v>490</v>
      </c>
      <c r="D33" s="5" t="n">
        <v>4634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1545</v>
      </c>
      <c r="C34" s="5" t="n">
        <v>480</v>
      </c>
      <c r="D34" s="5" t="n">
        <v>13057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1546</v>
      </c>
      <c r="C35" s="5" t="n">
        <v>445</v>
      </c>
      <c r="D35" s="5" t="n">
        <v>483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1547</v>
      </c>
      <c r="C36" s="5" t="n">
        <v>434</v>
      </c>
      <c r="D36" s="5" t="n">
        <v>3026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1548</v>
      </c>
      <c r="C37" s="5" t="n">
        <v>406</v>
      </c>
      <c r="D37" s="5" t="n">
        <v>5118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1549</v>
      </c>
      <c r="C38" s="5" t="n">
        <v>398</v>
      </c>
      <c r="D38" s="5" t="n">
        <v>3613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1550</v>
      </c>
      <c r="C39" s="5" t="n">
        <v>395</v>
      </c>
      <c r="D39" s="5" t="n">
        <v>1133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1551</v>
      </c>
      <c r="C40" s="5" t="n">
        <v>384</v>
      </c>
      <c r="D40" s="5" t="n">
        <v>1194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1552</v>
      </c>
      <c r="C41" s="5" t="n">
        <v>378</v>
      </c>
      <c r="D41" s="5" t="n">
        <v>2317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1553</v>
      </c>
      <c r="C42" s="5" t="n">
        <v>365</v>
      </c>
      <c r="D42" s="5" t="n">
        <v>0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1554</v>
      </c>
      <c r="C43" s="5" t="n">
        <v>357</v>
      </c>
      <c r="D43" s="5" t="n">
        <v>46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1555</v>
      </c>
      <c r="C44" s="5" t="n">
        <v>356</v>
      </c>
      <c r="D44" s="5" t="n">
        <v>3327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1556</v>
      </c>
      <c r="C45" s="5" t="n">
        <v>354</v>
      </c>
      <c r="D45" s="5" t="n">
        <v>1265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1557</v>
      </c>
      <c r="C46" s="5" t="n">
        <v>351</v>
      </c>
      <c r="D46" s="5" t="n">
        <v>1367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1558</v>
      </c>
      <c r="C47" s="5" t="n">
        <v>351</v>
      </c>
      <c r="D47" s="5" t="n">
        <v>1123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1559</v>
      </c>
      <c r="C48" s="5" t="n">
        <v>329</v>
      </c>
      <c r="D48" s="5" t="n">
        <v>25991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1560</v>
      </c>
      <c r="C49" s="5" t="n">
        <v>322</v>
      </c>
      <c r="D49" s="5" t="n">
        <v>690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1561</v>
      </c>
      <c r="C50" s="5" t="n">
        <v>319</v>
      </c>
      <c r="D50" s="5" t="n">
        <v>5632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1562</v>
      </c>
      <c r="C51" s="5" t="n">
        <v>312</v>
      </c>
      <c r="D51" s="5" t="n">
        <v>1597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1563</v>
      </c>
      <c r="C52" s="5" t="n">
        <v>312</v>
      </c>
      <c r="D52" s="5" t="n">
        <v>570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1564</v>
      </c>
      <c r="C53" s="5" t="n">
        <v>310</v>
      </c>
      <c r="D53" s="5" t="n">
        <v>1438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1565</v>
      </c>
      <c r="C54" s="5" t="n">
        <v>284</v>
      </c>
      <c r="D54" s="5" t="n">
        <v>4032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1566</v>
      </c>
      <c r="C55" s="5" t="n">
        <v>284</v>
      </c>
      <c r="D55" s="5" t="n">
        <v>534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1567</v>
      </c>
      <c r="C56" s="5" t="n">
        <v>281</v>
      </c>
      <c r="D56" s="5" t="n">
        <v>382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1568</v>
      </c>
      <c r="C57" s="5" t="n">
        <v>279</v>
      </c>
      <c r="D57" s="5" t="n">
        <v>9047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1569</v>
      </c>
      <c r="C58" s="5" t="n">
        <v>266</v>
      </c>
      <c r="D58" s="5" t="n">
        <v>6498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1570</v>
      </c>
      <c r="C59" s="5" t="n">
        <v>263</v>
      </c>
      <c r="D59" s="5" t="n">
        <v>3032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1571</v>
      </c>
      <c r="C60" s="5" t="n">
        <v>257</v>
      </c>
      <c r="D60" s="5" t="n">
        <v>4647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1572</v>
      </c>
      <c r="C61" s="5" t="n">
        <v>252</v>
      </c>
      <c r="D61" s="5" t="n">
        <v>1430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1573</v>
      </c>
      <c r="C62" s="5" t="n">
        <v>247</v>
      </c>
      <c r="D62" s="5" t="n">
        <v>5913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1574</v>
      </c>
      <c r="C63" s="5" t="n">
        <v>247</v>
      </c>
      <c r="D63" s="5" t="n">
        <v>2631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1575</v>
      </c>
      <c r="C64" s="5" t="n">
        <v>242</v>
      </c>
      <c r="D64" s="5" t="n">
        <v>3015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1576</v>
      </c>
      <c r="C65" s="5" t="n">
        <v>242</v>
      </c>
      <c r="D65" s="5" t="n">
        <v>729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1577</v>
      </c>
      <c r="C66" s="5" t="n">
        <v>242</v>
      </c>
      <c r="D66" s="5" t="n">
        <v>279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1578</v>
      </c>
      <c r="C67" s="5" t="n">
        <v>239</v>
      </c>
      <c r="D67" s="5" t="n">
        <v>1500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1579</v>
      </c>
      <c r="C68" s="5" t="n">
        <v>229</v>
      </c>
      <c r="D68" s="5" t="n">
        <v>4887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1580</v>
      </c>
      <c r="C69" s="5" t="n">
        <v>228</v>
      </c>
      <c r="D69" s="5" t="n">
        <v>536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1581</v>
      </c>
      <c r="C70" s="5" t="n">
        <v>220</v>
      </c>
      <c r="D70" s="5" t="n">
        <v>2266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1582</v>
      </c>
      <c r="C71" s="5" t="n">
        <v>217</v>
      </c>
      <c r="D71" s="5" t="n">
        <v>1695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1583</v>
      </c>
      <c r="C72" s="5" t="n">
        <v>209</v>
      </c>
      <c r="D72" s="5" t="n">
        <v>2460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1584</v>
      </c>
      <c r="C73" s="5" t="n">
        <v>203</v>
      </c>
      <c r="D73" s="5" t="n">
        <v>1490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1585</v>
      </c>
      <c r="C74" s="5" t="n">
        <v>200</v>
      </c>
      <c r="D74" s="5" t="n">
        <v>3627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1586</v>
      </c>
      <c r="C75" s="5" t="n">
        <v>199</v>
      </c>
      <c r="D75" s="5" t="n">
        <v>333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1587</v>
      </c>
      <c r="C76" s="5" t="n">
        <v>198</v>
      </c>
      <c r="D76" s="5" t="n">
        <v>1404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1588</v>
      </c>
      <c r="C77" s="5" t="n">
        <v>198</v>
      </c>
      <c r="D77" s="5" t="n">
        <v>0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1589</v>
      </c>
      <c r="C78" s="5" t="n">
        <v>197</v>
      </c>
      <c r="D78" s="5" t="n">
        <v>19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1590</v>
      </c>
      <c r="C79" s="5" t="n">
        <v>193</v>
      </c>
      <c r="D79" s="5" t="n">
        <v>13284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1591</v>
      </c>
      <c r="C80" s="5" t="n">
        <v>191</v>
      </c>
      <c r="D80" s="5" t="n">
        <v>441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1592</v>
      </c>
      <c r="C81" s="5" t="n">
        <v>185</v>
      </c>
      <c r="D81" s="5" t="n">
        <v>635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1593</v>
      </c>
      <c r="C82" s="5" t="n">
        <v>178</v>
      </c>
      <c r="D82" s="5" t="n">
        <v>903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1594</v>
      </c>
      <c r="C83" s="5" t="n">
        <v>176</v>
      </c>
      <c r="D83" s="5" t="n">
        <v>1393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1595</v>
      </c>
      <c r="C84" s="5" t="n">
        <v>172</v>
      </c>
      <c r="D84" s="5" t="n">
        <v>1898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1596</v>
      </c>
      <c r="C85" s="5" t="n">
        <v>170</v>
      </c>
      <c r="D85" s="5" t="n">
        <v>1035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1597</v>
      </c>
      <c r="C86" s="5" t="n">
        <v>168</v>
      </c>
      <c r="D86" s="5" t="n">
        <v>812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1598</v>
      </c>
      <c r="C87" s="5" t="n">
        <v>167</v>
      </c>
      <c r="D87" s="5" t="n">
        <v>1641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1599</v>
      </c>
      <c r="C88" s="5" t="n">
        <v>166</v>
      </c>
      <c r="D88" s="5" t="n">
        <v>159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1600</v>
      </c>
      <c r="C89" s="5" t="n">
        <v>164</v>
      </c>
      <c r="D89" s="5" t="n">
        <v>2964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1601</v>
      </c>
      <c r="C90" s="5" t="n">
        <v>163</v>
      </c>
      <c r="D90" s="5" t="n">
        <v>2214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1602</v>
      </c>
      <c r="C91" s="5" t="n">
        <v>162</v>
      </c>
      <c r="D91" s="5" t="n">
        <v>4286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1603</v>
      </c>
      <c r="C92" s="5" t="n">
        <v>162</v>
      </c>
      <c r="D92" s="5" t="n">
        <v>2908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1604</v>
      </c>
      <c r="C93" s="5" t="n">
        <v>159</v>
      </c>
      <c r="D93" s="5" t="n">
        <v>5696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1605</v>
      </c>
      <c r="C94" s="5" t="n">
        <v>153</v>
      </c>
      <c r="D94" s="5" t="n">
        <v>4173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1606</v>
      </c>
      <c r="C95" s="5" t="n">
        <v>153</v>
      </c>
      <c r="D95" s="5" t="n">
        <v>3522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1607</v>
      </c>
      <c r="C96" s="5" t="n">
        <v>151</v>
      </c>
      <c r="D96" s="5" t="n">
        <v>5611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1608</v>
      </c>
      <c r="C97" s="5" t="n">
        <v>146</v>
      </c>
      <c r="D97" s="5" t="n">
        <v>1119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1609</v>
      </c>
      <c r="C98" s="5" t="n">
        <v>146</v>
      </c>
      <c r="D98" s="5" t="n">
        <v>933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1610</v>
      </c>
      <c r="C99" s="5" t="n">
        <v>144</v>
      </c>
      <c r="D99" s="5" t="n">
        <v>963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1611</v>
      </c>
      <c r="C100" s="5" t="n">
        <v>143</v>
      </c>
      <c r="D100" s="5" t="n">
        <v>2829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1612</v>
      </c>
      <c r="C101" s="5" t="n">
        <v>141</v>
      </c>
      <c r="D101" s="5" t="n">
        <v>4386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1613</v>
      </c>
      <c r="C102" s="5" t="n">
        <v>141</v>
      </c>
      <c r="D102" s="5" t="n">
        <v>707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1614</v>
      </c>
      <c r="C103" s="5" t="n">
        <v>140</v>
      </c>
      <c r="D103" s="5" t="n">
        <v>1373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1615</v>
      </c>
      <c r="C104" s="5" t="n">
        <v>139</v>
      </c>
      <c r="D104" s="5" t="n">
        <v>758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1616</v>
      </c>
      <c r="C105" s="5" t="n">
        <v>138</v>
      </c>
      <c r="D105" s="5" t="n">
        <v>686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1617</v>
      </c>
      <c r="C106" s="5" t="n">
        <v>137</v>
      </c>
      <c r="D106" s="5" t="n">
        <v>370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1618</v>
      </c>
      <c r="C107" s="5" t="n">
        <v>136</v>
      </c>
      <c r="D107" s="5" t="n">
        <v>4498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1619</v>
      </c>
      <c r="C108" s="5" t="n">
        <v>136</v>
      </c>
      <c r="D108" s="5" t="n">
        <v>44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1620</v>
      </c>
      <c r="C109" s="5" t="n">
        <v>131</v>
      </c>
      <c r="D109" s="5" t="n">
        <v>243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1621</v>
      </c>
      <c r="C110" s="5" t="n">
        <v>130</v>
      </c>
      <c r="D110" s="5" t="n">
        <v>710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1622</v>
      </c>
      <c r="C111" s="5" t="n">
        <v>130</v>
      </c>
      <c r="D111" s="5" t="n">
        <v>625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1623</v>
      </c>
      <c r="C112" s="5" t="n">
        <v>129</v>
      </c>
      <c r="D112" s="5" t="n">
        <v>37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1624</v>
      </c>
      <c r="C113" s="5" t="n">
        <v>128</v>
      </c>
      <c r="D113" s="5" t="n">
        <v>975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1625</v>
      </c>
      <c r="C114" s="5" t="n">
        <v>128</v>
      </c>
      <c r="D114" s="5" t="n">
        <v>181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1626</v>
      </c>
      <c r="C115" s="5" t="n">
        <v>125</v>
      </c>
      <c r="D115" s="5" t="n">
        <v>2714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1627</v>
      </c>
      <c r="C116" s="5" t="n">
        <v>125</v>
      </c>
      <c r="D116" s="5" t="n">
        <v>0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1628</v>
      </c>
      <c r="C117" s="5" t="n">
        <v>124</v>
      </c>
      <c r="D117" s="5" t="n">
        <v>7649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1629</v>
      </c>
      <c r="C118" s="5" t="n">
        <v>124</v>
      </c>
      <c r="D118" s="5" t="n">
        <v>4284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1630</v>
      </c>
      <c r="C119" s="5" t="n">
        <v>123</v>
      </c>
      <c r="D119" s="5" t="n">
        <v>676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1631</v>
      </c>
      <c r="C120" s="5" t="n">
        <v>120</v>
      </c>
      <c r="D120" s="5" t="n">
        <v>1590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1632</v>
      </c>
      <c r="C121" s="5" t="n">
        <v>119</v>
      </c>
      <c r="D121" s="5" t="n">
        <v>138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1633</v>
      </c>
      <c r="C122" s="5" t="n">
        <v>116</v>
      </c>
      <c r="D122" s="5" t="n">
        <v>2655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1634</v>
      </c>
      <c r="C123" s="5" t="n">
        <v>115</v>
      </c>
      <c r="D123" s="5" t="n">
        <v>4465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1635</v>
      </c>
      <c r="C124" s="5" t="n">
        <v>114</v>
      </c>
      <c r="D124" s="5" t="n">
        <v>4643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1636</v>
      </c>
      <c r="C125" s="5" t="n">
        <v>114</v>
      </c>
      <c r="D125" s="5" t="n">
        <v>267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1637</v>
      </c>
      <c r="C126" s="5" t="n">
        <v>111</v>
      </c>
      <c r="D126" s="5" t="n">
        <v>1012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1638</v>
      </c>
      <c r="C127" s="5" t="n">
        <v>110</v>
      </c>
      <c r="D127" s="5" t="n">
        <v>949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1639</v>
      </c>
      <c r="C128" s="5" t="n">
        <v>108</v>
      </c>
      <c r="D128" s="5" t="n">
        <v>0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1640</v>
      </c>
      <c r="C129" s="5" t="n">
        <v>106</v>
      </c>
      <c r="D129" s="5" t="n">
        <v>1483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1641</v>
      </c>
      <c r="C130" s="5" t="n">
        <v>105</v>
      </c>
      <c r="D130" s="5" t="n">
        <v>694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1642</v>
      </c>
      <c r="C131" s="5" t="n">
        <v>103</v>
      </c>
      <c r="D131" s="5" t="n">
        <v>1316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1643</v>
      </c>
      <c r="C132" s="5" t="n">
        <v>103</v>
      </c>
      <c r="D132" s="5" t="n">
        <v>384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1644</v>
      </c>
      <c r="C133" s="5" t="n">
        <v>101</v>
      </c>
      <c r="D133" s="5" t="n">
        <v>266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1645</v>
      </c>
      <c r="C134" s="5" t="n">
        <v>99</v>
      </c>
      <c r="D134" s="5" t="n">
        <v>850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1646</v>
      </c>
      <c r="C135" s="5" t="n">
        <v>99</v>
      </c>
      <c r="D135" s="5" t="n">
        <v>118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1647</v>
      </c>
      <c r="C136" s="5" t="n">
        <v>98</v>
      </c>
      <c r="D136" s="5" t="n">
        <v>513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1648</v>
      </c>
      <c r="C137" s="5" t="n">
        <v>96</v>
      </c>
      <c r="D137" s="5" t="n">
        <v>5366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1649</v>
      </c>
      <c r="C138" s="5" t="n">
        <v>96</v>
      </c>
      <c r="D138" s="5" t="n">
        <v>922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1650</v>
      </c>
      <c r="C139" s="5" t="n">
        <v>96</v>
      </c>
      <c r="D139" s="5" t="n">
        <v>495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1651</v>
      </c>
      <c r="C140" s="5" t="n">
        <v>96</v>
      </c>
      <c r="D140" s="5" t="n">
        <v>319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1652</v>
      </c>
      <c r="C141" s="5" t="n">
        <v>94</v>
      </c>
      <c r="D141" s="5" t="n">
        <v>0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1653</v>
      </c>
      <c r="C142" s="5" t="n">
        <v>92</v>
      </c>
      <c r="D142" s="5" t="n">
        <v>69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1654</v>
      </c>
      <c r="C143" s="5" t="n">
        <v>91</v>
      </c>
      <c r="D143" s="5" t="n">
        <v>160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1655</v>
      </c>
      <c r="C144" s="5" t="n">
        <v>91</v>
      </c>
      <c r="D144" s="5" t="n">
        <v>0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1656</v>
      </c>
      <c r="C145" s="5" t="n">
        <v>90</v>
      </c>
      <c r="D145" s="5" t="n">
        <v>15783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1657</v>
      </c>
      <c r="C146" s="5" t="n">
        <v>90</v>
      </c>
      <c r="D146" s="5" t="n">
        <v>671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1658</v>
      </c>
      <c r="C147" s="5" t="n">
        <v>89</v>
      </c>
      <c r="D147" s="5" t="n">
        <v>15809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1659</v>
      </c>
      <c r="C148" s="5" t="n">
        <v>89</v>
      </c>
      <c r="D148" s="5" t="n">
        <v>555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1660</v>
      </c>
      <c r="C149" s="5" t="n">
        <v>87</v>
      </c>
      <c r="D149" s="5" t="n">
        <v>209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1661</v>
      </c>
      <c r="C150" s="5" t="n">
        <v>86</v>
      </c>
      <c r="D150" s="5" t="n">
        <v>2826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1662</v>
      </c>
      <c r="C151" s="5" t="n">
        <v>86</v>
      </c>
      <c r="D151" s="5" t="n">
        <v>1770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1663</v>
      </c>
      <c r="C152" s="5" t="n">
        <v>86</v>
      </c>
      <c r="D152" s="5" t="n">
        <v>108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1664</v>
      </c>
      <c r="C153" s="5" t="n">
        <v>85</v>
      </c>
      <c r="D153" s="5" t="n">
        <v>719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1665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1666</v>
      </c>
      <c r="C4" s="5" t="n">
        <v>51273</v>
      </c>
      <c r="D4" s="5" t="n">
        <v>540030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1667</v>
      </c>
      <c r="C5" s="5" t="n">
        <v>46409</v>
      </c>
      <c r="D5" s="5" t="n">
        <v>299255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1668</v>
      </c>
      <c r="C6" s="5" t="n">
        <v>12075</v>
      </c>
      <c r="D6" s="5" t="n">
        <v>81824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1669</v>
      </c>
      <c r="C7" s="5" t="n">
        <v>11772</v>
      </c>
      <c r="D7" s="5" t="n">
        <v>78336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1670</v>
      </c>
      <c r="C8" s="5" t="n">
        <v>4450</v>
      </c>
      <c r="D8" s="5" t="n">
        <v>40233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1671</v>
      </c>
      <c r="C9" s="5" t="n">
        <v>2636</v>
      </c>
      <c r="D9" s="5" t="n">
        <v>10479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1672</v>
      </c>
      <c r="C10" s="5" t="n">
        <v>1997</v>
      </c>
      <c r="D10" s="5" t="n">
        <v>15787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15</v>
      </c>
      <c r="C11" s="5" t="n">
        <v>1620</v>
      </c>
      <c r="D11" s="5" t="n">
        <v>16071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1673</v>
      </c>
      <c r="C12" s="5" t="n">
        <v>1603</v>
      </c>
      <c r="D12" s="5" t="n">
        <v>7207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1674</v>
      </c>
      <c r="C13" s="5" t="n">
        <v>1437</v>
      </c>
      <c r="D13" s="5" t="n">
        <v>18991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1675</v>
      </c>
      <c r="C14" s="5" t="n">
        <v>1302</v>
      </c>
      <c r="D14" s="5" t="n">
        <v>10667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1676</v>
      </c>
      <c r="C15" s="5" t="n">
        <v>1237</v>
      </c>
      <c r="D15" s="5" t="n">
        <v>0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1677</v>
      </c>
      <c r="C16" s="5" t="n">
        <v>1163</v>
      </c>
      <c r="D16" s="5" t="n">
        <v>0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1678</v>
      </c>
      <c r="C17" s="5" t="n">
        <v>1138</v>
      </c>
      <c r="D17" s="5" t="n">
        <v>7793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1679</v>
      </c>
      <c r="C18" s="5" t="n">
        <v>1093</v>
      </c>
      <c r="D18" s="5" t="n">
        <v>8151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1680</v>
      </c>
      <c r="C19" s="5" t="n">
        <v>1034</v>
      </c>
      <c r="D19" s="5" t="n">
        <v>9023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1681</v>
      </c>
      <c r="C20" s="5" t="n">
        <v>1011</v>
      </c>
      <c r="D20" s="5" t="n">
        <v>14435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1682</v>
      </c>
      <c r="C21" s="5" t="n">
        <v>1002</v>
      </c>
      <c r="D21" s="5" t="n">
        <v>9147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1683</v>
      </c>
      <c r="C22" s="5" t="n">
        <v>992</v>
      </c>
      <c r="D22" s="5" t="n">
        <v>4371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1684</v>
      </c>
      <c r="C23" s="5" t="n">
        <v>955</v>
      </c>
      <c r="D23" s="5" t="n">
        <v>8114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1685</v>
      </c>
      <c r="C24" s="5" t="n">
        <v>902</v>
      </c>
      <c r="D24" s="5" t="n">
        <v>5784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1686</v>
      </c>
      <c r="C25" s="5" t="n">
        <v>790</v>
      </c>
      <c r="D25" s="5" t="n">
        <v>6203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1687</v>
      </c>
      <c r="C26" s="5" t="n">
        <v>784</v>
      </c>
      <c r="D26" s="5" t="n">
        <v>11640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1688</v>
      </c>
      <c r="C27" s="5" t="n">
        <v>775</v>
      </c>
      <c r="D27" s="5" t="n">
        <v>8671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1689</v>
      </c>
      <c r="C28" s="5" t="n">
        <v>748</v>
      </c>
      <c r="D28" s="5" t="n">
        <v>4560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1690</v>
      </c>
      <c r="C29" s="5" t="n">
        <v>648</v>
      </c>
      <c r="D29" s="5" t="n">
        <v>1620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1691</v>
      </c>
      <c r="C30" s="5" t="n">
        <v>634</v>
      </c>
      <c r="D30" s="5" t="n">
        <v>9488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1692</v>
      </c>
      <c r="C31" s="5" t="n">
        <v>603</v>
      </c>
      <c r="D31" s="5" t="n">
        <v>441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1693</v>
      </c>
      <c r="C32" s="5" t="n">
        <v>545</v>
      </c>
      <c r="D32" s="5" t="n">
        <v>7360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1694</v>
      </c>
      <c r="C33" s="5" t="n">
        <v>542</v>
      </c>
      <c r="D33" s="5" t="n">
        <v>3905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1695</v>
      </c>
      <c r="C34" s="5" t="n">
        <v>540</v>
      </c>
      <c r="D34" s="5" t="n">
        <v>5015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1696</v>
      </c>
      <c r="C35" s="5" t="n">
        <v>530</v>
      </c>
      <c r="D35" s="5" t="n">
        <v>3997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1697</v>
      </c>
      <c r="C36" s="5" t="n">
        <v>518</v>
      </c>
      <c r="D36" s="5" t="n">
        <v>3383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1698</v>
      </c>
      <c r="C37" s="5" t="n">
        <v>504</v>
      </c>
      <c r="D37" s="5" t="n">
        <v>8835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1699</v>
      </c>
      <c r="C38" s="5" t="n">
        <v>502</v>
      </c>
      <c r="D38" s="5" t="n">
        <v>2235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1700</v>
      </c>
      <c r="C39" s="5" t="n">
        <v>494</v>
      </c>
      <c r="D39" s="5" t="n">
        <v>250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1701</v>
      </c>
      <c r="C40" s="5" t="n">
        <v>487</v>
      </c>
      <c r="D40" s="5" t="n">
        <v>3368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1702</v>
      </c>
      <c r="C41" s="5" t="n">
        <v>474</v>
      </c>
      <c r="D41" s="5" t="n">
        <v>1423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1703</v>
      </c>
      <c r="C42" s="5" t="n">
        <v>460</v>
      </c>
      <c r="D42" s="5" t="n">
        <v>3654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1704</v>
      </c>
      <c r="C43" s="5" t="n">
        <v>447</v>
      </c>
      <c r="D43" s="5" t="n">
        <v>576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1705</v>
      </c>
      <c r="C44" s="5" t="n">
        <v>445</v>
      </c>
      <c r="D44" s="5" t="n">
        <v>13614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1706</v>
      </c>
      <c r="C45" s="5" t="n">
        <v>420</v>
      </c>
      <c r="D45" s="5" t="n">
        <v>4163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1707</v>
      </c>
      <c r="C46" s="5" t="n">
        <v>416</v>
      </c>
      <c r="D46" s="5" t="n">
        <v>4479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1708</v>
      </c>
      <c r="C47" s="5" t="n">
        <v>407</v>
      </c>
      <c r="D47" s="5" t="n">
        <v>5030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1709</v>
      </c>
      <c r="C48" s="5" t="n">
        <v>405</v>
      </c>
      <c r="D48" s="5" t="n">
        <v>7003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1710</v>
      </c>
      <c r="C49" s="5" t="n">
        <v>400</v>
      </c>
      <c r="D49" s="5" t="n">
        <v>2696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1711</v>
      </c>
      <c r="C50" s="5" t="n">
        <v>399</v>
      </c>
      <c r="D50" s="5" t="n">
        <v>2988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1712</v>
      </c>
      <c r="C51" s="5" t="n">
        <v>392</v>
      </c>
      <c r="D51" s="5" t="n">
        <v>3031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1713</v>
      </c>
      <c r="C52" s="5" t="n">
        <v>389</v>
      </c>
      <c r="D52" s="5" t="n">
        <v>9844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1714</v>
      </c>
      <c r="C53" s="5" t="n">
        <v>376</v>
      </c>
      <c r="D53" s="5" t="n">
        <v>4066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1715</v>
      </c>
      <c r="C54" s="5" t="n">
        <v>375</v>
      </c>
      <c r="D54" s="5" t="n">
        <v>3193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1716</v>
      </c>
      <c r="C55" s="5" t="n">
        <v>371</v>
      </c>
      <c r="D55" s="5" t="n">
        <v>4376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1717</v>
      </c>
      <c r="C56" s="5" t="n">
        <v>371</v>
      </c>
      <c r="D56" s="5" t="n">
        <v>2442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1718</v>
      </c>
      <c r="C57" s="5" t="n">
        <v>363</v>
      </c>
      <c r="D57" s="5" t="n">
        <v>9497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1719</v>
      </c>
      <c r="C58" s="5" t="n">
        <v>354</v>
      </c>
      <c r="D58" s="5" t="n">
        <v>785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1720</v>
      </c>
      <c r="C59" s="5" t="n">
        <v>348</v>
      </c>
      <c r="D59" s="5" t="n">
        <v>2163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1721</v>
      </c>
      <c r="C60" s="5" t="n">
        <v>332</v>
      </c>
      <c r="D60" s="5" t="n">
        <v>1883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1722</v>
      </c>
      <c r="C61" s="5" t="n">
        <v>330</v>
      </c>
      <c r="D61" s="5" t="n">
        <v>3200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1723</v>
      </c>
      <c r="C62" s="5" t="n">
        <v>325</v>
      </c>
      <c r="D62" s="5" t="n">
        <v>5596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1724</v>
      </c>
      <c r="C63" s="5" t="n">
        <v>310</v>
      </c>
      <c r="D63" s="5" t="n">
        <v>1241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1725</v>
      </c>
      <c r="C64" s="5" t="n">
        <v>304</v>
      </c>
      <c r="D64" s="5" t="n">
        <v>418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1726</v>
      </c>
      <c r="C65" s="5" t="n">
        <v>301</v>
      </c>
      <c r="D65" s="5" t="n">
        <v>14815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1727</v>
      </c>
      <c r="C66" s="5" t="n">
        <v>301</v>
      </c>
      <c r="D66" s="5" t="n">
        <v>3758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1728</v>
      </c>
      <c r="C67" s="5" t="n">
        <v>297</v>
      </c>
      <c r="D67" s="5" t="n">
        <v>898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1729</v>
      </c>
      <c r="C68" s="5" t="n">
        <v>294</v>
      </c>
      <c r="D68" s="5" t="n">
        <v>131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1730</v>
      </c>
      <c r="C69" s="5" t="n">
        <v>286</v>
      </c>
      <c r="D69" s="5" t="n">
        <v>2310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1731</v>
      </c>
      <c r="C70" s="5" t="n">
        <v>282</v>
      </c>
      <c r="D70" s="5" t="n">
        <v>4055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1732</v>
      </c>
      <c r="C71" s="5" t="n">
        <v>274</v>
      </c>
      <c r="D71" s="5" t="n">
        <v>985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1733</v>
      </c>
      <c r="C72" s="5" t="n">
        <v>273</v>
      </c>
      <c r="D72" s="5" t="n">
        <v>186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1734</v>
      </c>
      <c r="C73" s="5" t="n">
        <v>269</v>
      </c>
      <c r="D73" s="5" t="n">
        <v>3073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1735</v>
      </c>
      <c r="C74" s="5" t="n">
        <v>264</v>
      </c>
      <c r="D74" s="5" t="n">
        <v>769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1736</v>
      </c>
      <c r="C75" s="5" t="n">
        <v>260</v>
      </c>
      <c r="D75" s="5" t="n">
        <v>1252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1737</v>
      </c>
      <c r="C76" s="5" t="n">
        <v>258</v>
      </c>
      <c r="D76" s="5" t="n">
        <v>343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1738</v>
      </c>
      <c r="C77" s="5" t="n">
        <v>252</v>
      </c>
      <c r="D77" s="5" t="n">
        <v>5718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1739</v>
      </c>
      <c r="C78" s="5" t="n">
        <v>251</v>
      </c>
      <c r="D78" s="5" t="n">
        <v>0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1740</v>
      </c>
      <c r="C79" s="5" t="n">
        <v>250</v>
      </c>
      <c r="D79" s="5" t="n">
        <v>2081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1741</v>
      </c>
      <c r="C80" s="5" t="n">
        <v>244</v>
      </c>
      <c r="D80" s="5" t="n">
        <v>474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1742</v>
      </c>
      <c r="C81" s="5" t="n">
        <v>235</v>
      </c>
      <c r="D81" s="5" t="n">
        <v>2732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1743</v>
      </c>
      <c r="C82" s="5" t="n">
        <v>232</v>
      </c>
      <c r="D82" s="5" t="n">
        <v>1596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1744</v>
      </c>
      <c r="C83" s="5" t="n">
        <v>226</v>
      </c>
      <c r="D83" s="5" t="n">
        <v>2294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1745</v>
      </c>
      <c r="C84" s="5" t="n">
        <v>222</v>
      </c>
      <c r="D84" s="5" t="n">
        <v>3249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1746</v>
      </c>
      <c r="C85" s="5" t="n">
        <v>219</v>
      </c>
      <c r="D85" s="5" t="n">
        <v>882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1747</v>
      </c>
      <c r="C86" s="5" t="n">
        <v>211</v>
      </c>
      <c r="D86" s="5" t="n">
        <v>350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1748</v>
      </c>
      <c r="C87" s="5" t="n">
        <v>208</v>
      </c>
      <c r="D87" s="5" t="n">
        <v>1185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1749</v>
      </c>
      <c r="C88" s="5" t="n">
        <v>206</v>
      </c>
      <c r="D88" s="5" t="n">
        <v>2852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1750</v>
      </c>
      <c r="C89" s="5" t="n">
        <v>205</v>
      </c>
      <c r="D89" s="5" t="n">
        <v>1062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1751</v>
      </c>
      <c r="C90" s="5" t="n">
        <v>200</v>
      </c>
      <c r="D90" s="5" t="n">
        <v>3618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1752</v>
      </c>
      <c r="C91" s="5" t="n">
        <v>199</v>
      </c>
      <c r="D91" s="5" t="n">
        <v>344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1753</v>
      </c>
      <c r="C92" s="5" t="n">
        <v>198</v>
      </c>
      <c r="D92" s="5" t="n">
        <v>538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1754</v>
      </c>
      <c r="C93" s="5" t="n">
        <v>193</v>
      </c>
      <c r="D93" s="5" t="n">
        <v>303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1755</v>
      </c>
      <c r="C94" s="5" t="n">
        <v>190</v>
      </c>
      <c r="D94" s="5" t="n">
        <v>2280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1756</v>
      </c>
      <c r="C95" s="5" t="n">
        <v>184</v>
      </c>
      <c r="D95" s="5" t="n">
        <v>3107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1757</v>
      </c>
      <c r="C96" s="5" t="n">
        <v>180</v>
      </c>
      <c r="D96" s="5" t="n">
        <v>921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1758</v>
      </c>
      <c r="C97" s="5" t="n">
        <v>173</v>
      </c>
      <c r="D97" s="5" t="n">
        <v>0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1759</v>
      </c>
      <c r="C98" s="5" t="n">
        <v>170</v>
      </c>
      <c r="D98" s="5" t="n">
        <v>2694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1760</v>
      </c>
      <c r="C99" s="5" t="n">
        <v>169</v>
      </c>
      <c r="D99" s="5" t="n">
        <v>862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1761</v>
      </c>
      <c r="C100" s="5" t="n">
        <v>168</v>
      </c>
      <c r="D100" s="5" t="n">
        <v>2956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1762</v>
      </c>
      <c r="C101" s="5" t="n">
        <v>167</v>
      </c>
      <c r="D101" s="5" t="n">
        <v>872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1763</v>
      </c>
      <c r="C102" s="5" t="n">
        <v>167</v>
      </c>
      <c r="D102" s="5" t="n">
        <v>674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1764</v>
      </c>
      <c r="C103" s="5" t="n">
        <v>164</v>
      </c>
      <c r="D103" s="5" t="n">
        <v>1002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1765</v>
      </c>
      <c r="C104" s="5" t="n">
        <v>156</v>
      </c>
      <c r="D104" s="5" t="n">
        <v>2229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1766</v>
      </c>
      <c r="C105" s="5" t="n">
        <v>156</v>
      </c>
      <c r="D105" s="5" t="n">
        <v>816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1767</v>
      </c>
      <c r="C106" s="5" t="n">
        <v>155</v>
      </c>
      <c r="D106" s="5" t="n">
        <v>6818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1768</v>
      </c>
      <c r="C107" s="5" t="n">
        <v>152</v>
      </c>
      <c r="D107" s="5" t="n">
        <v>1887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1769</v>
      </c>
      <c r="C108" s="5" t="n">
        <v>152</v>
      </c>
      <c r="D108" s="5" t="n">
        <v>1376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1770</v>
      </c>
      <c r="C109" s="5" t="n">
        <v>152</v>
      </c>
      <c r="D109" s="5" t="n">
        <v>137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1771</v>
      </c>
      <c r="C110" s="5" t="n">
        <v>151</v>
      </c>
      <c r="D110" s="5" t="n">
        <v>544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1772</v>
      </c>
      <c r="C111" s="5" t="n">
        <v>150</v>
      </c>
      <c r="D111" s="5" t="n">
        <v>1322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1773</v>
      </c>
      <c r="C112" s="5" t="n">
        <v>145</v>
      </c>
      <c r="D112" s="5" t="n">
        <v>1273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1774</v>
      </c>
      <c r="C113" s="5" t="n">
        <v>143</v>
      </c>
      <c r="D113" s="5" t="n">
        <v>921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1775</v>
      </c>
      <c r="C114" s="5" t="n">
        <v>141</v>
      </c>
      <c r="D114" s="5" t="n">
        <v>1529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1776</v>
      </c>
      <c r="C115" s="5" t="n">
        <v>140</v>
      </c>
      <c r="D115" s="5" t="n">
        <v>543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1777</v>
      </c>
      <c r="C116" s="5" t="n">
        <v>140</v>
      </c>
      <c r="D116" s="5" t="n">
        <v>384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1778</v>
      </c>
      <c r="C117" s="5" t="n">
        <v>137</v>
      </c>
      <c r="D117" s="5" t="n">
        <v>2830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1779</v>
      </c>
      <c r="C118" s="5" t="n">
        <v>137</v>
      </c>
      <c r="D118" s="5" t="n">
        <v>558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1780</v>
      </c>
      <c r="C119" s="5" t="n">
        <v>136</v>
      </c>
      <c r="D119" s="5" t="n">
        <v>9679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1781</v>
      </c>
      <c r="C120" s="5" t="n">
        <v>135</v>
      </c>
      <c r="D120" s="5" t="n">
        <v>1686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1782</v>
      </c>
      <c r="C121" s="5" t="n">
        <v>134</v>
      </c>
      <c r="D121" s="5" t="n">
        <v>1951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1783</v>
      </c>
      <c r="C122" s="5" t="n">
        <v>134</v>
      </c>
      <c r="D122" s="5" t="n">
        <v>602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1784</v>
      </c>
      <c r="C123" s="5" t="n">
        <v>133</v>
      </c>
      <c r="D123" s="5" t="n">
        <v>3404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1785</v>
      </c>
      <c r="C124" s="5" t="n">
        <v>132</v>
      </c>
      <c r="D124" s="5" t="n">
        <v>4095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1786</v>
      </c>
      <c r="C125" s="5" t="n">
        <v>130</v>
      </c>
      <c r="D125" s="5" t="n">
        <v>239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1787</v>
      </c>
      <c r="C126" s="5" t="n">
        <v>129</v>
      </c>
      <c r="D126" s="5" t="n">
        <v>1318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1788</v>
      </c>
      <c r="C127" s="5" t="n">
        <v>128</v>
      </c>
      <c r="D127" s="5" t="n">
        <v>778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1789</v>
      </c>
      <c r="C128" s="5" t="n">
        <v>126</v>
      </c>
      <c r="D128" s="5" t="n">
        <v>643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1790</v>
      </c>
      <c r="C129" s="5" t="n">
        <v>125</v>
      </c>
      <c r="D129" s="5" t="n">
        <v>1864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1791</v>
      </c>
      <c r="C130" s="5" t="n">
        <v>123</v>
      </c>
      <c r="D130" s="5" t="n">
        <v>286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1792</v>
      </c>
      <c r="C131" s="5" t="n">
        <v>120</v>
      </c>
      <c r="D131" s="5" t="n">
        <v>511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1793</v>
      </c>
      <c r="C132" s="5" t="n">
        <v>113</v>
      </c>
      <c r="D132" s="5" t="n">
        <v>2323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1794</v>
      </c>
      <c r="C133" s="5" t="n">
        <v>111</v>
      </c>
      <c r="D133" s="5" t="n">
        <v>6464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1795</v>
      </c>
      <c r="C134" s="5" t="n">
        <v>111</v>
      </c>
      <c r="D134" s="5" t="n">
        <v>2070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1796</v>
      </c>
      <c r="C135" s="5" t="n">
        <v>110</v>
      </c>
      <c r="D135" s="5" t="n">
        <v>115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1797</v>
      </c>
      <c r="C136" s="5" t="n">
        <v>108</v>
      </c>
      <c r="D136" s="5" t="n">
        <v>872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1798</v>
      </c>
      <c r="C137" s="5" t="n">
        <v>108</v>
      </c>
      <c r="D137" s="5" t="n">
        <v>425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1799</v>
      </c>
      <c r="C138" s="5" t="n">
        <v>103</v>
      </c>
      <c r="D138" s="5" t="n">
        <v>5179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1800</v>
      </c>
      <c r="C139" s="5" t="n">
        <v>103</v>
      </c>
      <c r="D139" s="5" t="n">
        <v>3510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1801</v>
      </c>
      <c r="C140" s="5" t="n">
        <v>103</v>
      </c>
      <c r="D140" s="5" t="n">
        <v>1115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1802</v>
      </c>
      <c r="C141" s="5" t="n">
        <v>103</v>
      </c>
      <c r="D141" s="5" t="n">
        <v>300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1803</v>
      </c>
      <c r="C142" s="5" t="n">
        <v>102</v>
      </c>
      <c r="D142" s="5" t="n">
        <v>5761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1804</v>
      </c>
      <c r="C143" s="5" t="n">
        <v>102</v>
      </c>
      <c r="D143" s="5" t="n">
        <v>687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1805</v>
      </c>
      <c r="C144" s="5" t="n">
        <v>100</v>
      </c>
      <c r="D144" s="5" t="n">
        <v>509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1806</v>
      </c>
      <c r="C145" s="5" t="n">
        <v>100</v>
      </c>
      <c r="D145" s="5" t="n">
        <v>218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1807</v>
      </c>
      <c r="C146" s="5" t="n">
        <v>99</v>
      </c>
      <c r="D146" s="5" t="n">
        <v>1408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1808</v>
      </c>
      <c r="C147" s="5" t="n">
        <v>97</v>
      </c>
      <c r="D147" s="5" t="n">
        <v>710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1809</v>
      </c>
      <c r="C148" s="5" t="n">
        <v>96</v>
      </c>
      <c r="D148" s="5" t="n">
        <v>2861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1810</v>
      </c>
      <c r="C149" s="5" t="n">
        <v>95</v>
      </c>
      <c r="D149" s="5" t="n">
        <v>4265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1811</v>
      </c>
      <c r="C150" s="5" t="n">
        <v>95</v>
      </c>
      <c r="D150" s="5" t="n">
        <v>1148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1812</v>
      </c>
      <c r="C151" s="5" t="n">
        <v>95</v>
      </c>
      <c r="D151" s="5" t="n">
        <v>160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1813</v>
      </c>
      <c r="C152" s="5" t="n">
        <v>94</v>
      </c>
      <c r="D152" s="5" t="n">
        <v>824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1814</v>
      </c>
      <c r="C153" s="5" t="n">
        <v>94</v>
      </c>
      <c r="D153" s="5" t="n">
        <v>487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1815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1816</v>
      </c>
      <c r="C4" s="5" t="n">
        <v>7907</v>
      </c>
      <c r="D4" s="5" t="n">
        <v>120255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1817</v>
      </c>
      <c r="C5" s="5" t="n">
        <v>3792</v>
      </c>
      <c r="D5" s="5" t="n">
        <v>31026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1818</v>
      </c>
      <c r="C6" s="5" t="n">
        <v>2555</v>
      </c>
      <c r="D6" s="5" t="n">
        <v>21361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1819</v>
      </c>
      <c r="C7" s="5" t="n">
        <v>1678</v>
      </c>
      <c r="D7" s="5" t="n">
        <v>17629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1820</v>
      </c>
      <c r="C8" s="5" t="n">
        <v>1282</v>
      </c>
      <c r="D8" s="5" t="n">
        <v>58909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1821</v>
      </c>
      <c r="C9" s="5" t="n">
        <v>1280</v>
      </c>
      <c r="D9" s="5" t="n">
        <v>11590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1822</v>
      </c>
      <c r="C10" s="5" t="n">
        <v>1277</v>
      </c>
      <c r="D10" s="5" t="n">
        <v>18486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1823</v>
      </c>
      <c r="C11" s="5" t="n">
        <v>1028</v>
      </c>
      <c r="D11" s="5" t="n">
        <v>7869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1824</v>
      </c>
      <c r="C12" s="5" t="n">
        <v>987</v>
      </c>
      <c r="D12" s="5" t="n">
        <v>37404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1825</v>
      </c>
      <c r="C13" s="5" t="n">
        <v>975</v>
      </c>
      <c r="D13" s="5" t="n">
        <v>2338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1826</v>
      </c>
      <c r="C14" s="5" t="n">
        <v>950</v>
      </c>
      <c r="D14" s="5" t="n">
        <v>3198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1827</v>
      </c>
      <c r="C15" s="5" t="n">
        <v>836</v>
      </c>
      <c r="D15" s="5" t="n">
        <v>330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1828</v>
      </c>
      <c r="C16" s="5" t="n">
        <v>817</v>
      </c>
      <c r="D16" s="5" t="n">
        <v>6927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1829</v>
      </c>
      <c r="C17" s="5" t="n">
        <v>784</v>
      </c>
      <c r="D17" s="5" t="n">
        <v>4089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1830</v>
      </c>
      <c r="C18" s="5" t="n">
        <v>665</v>
      </c>
      <c r="D18" s="5" t="n">
        <v>6814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1831</v>
      </c>
      <c r="C19" s="5" t="n">
        <v>637</v>
      </c>
      <c r="D19" s="5" t="n">
        <v>5636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1832</v>
      </c>
      <c r="C20" s="5" t="n">
        <v>606</v>
      </c>
      <c r="D20" s="5" t="n">
        <v>3839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1833</v>
      </c>
      <c r="C21" s="5" t="n">
        <v>567</v>
      </c>
      <c r="D21" s="5" t="n">
        <v>12096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1834</v>
      </c>
      <c r="C22" s="5" t="n">
        <v>554</v>
      </c>
      <c r="D22" s="5" t="n">
        <v>7956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1835</v>
      </c>
      <c r="C23" s="5" t="n">
        <v>458</v>
      </c>
      <c r="D23" s="5" t="n">
        <v>5071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1836</v>
      </c>
      <c r="C24" s="5" t="n">
        <v>455</v>
      </c>
      <c r="D24" s="5" t="n">
        <v>1761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1837</v>
      </c>
      <c r="C25" s="5" t="n">
        <v>448</v>
      </c>
      <c r="D25" s="5" t="n">
        <v>7638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1838</v>
      </c>
      <c r="C26" s="5" t="n">
        <v>440</v>
      </c>
      <c r="D26" s="5" t="n">
        <v>10947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1839</v>
      </c>
      <c r="C27" s="5" t="n">
        <v>440</v>
      </c>
      <c r="D27" s="5" t="n">
        <v>434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1840</v>
      </c>
      <c r="C28" s="5" t="n">
        <v>425</v>
      </c>
      <c r="D28" s="5" t="n">
        <v>3262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1841</v>
      </c>
      <c r="C29" s="5" t="n">
        <v>408</v>
      </c>
      <c r="D29" s="5" t="n">
        <v>4969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1842</v>
      </c>
      <c r="C30" s="5" t="n">
        <v>407</v>
      </c>
      <c r="D30" s="5" t="n">
        <v>11140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1843</v>
      </c>
      <c r="C31" s="5" t="n">
        <v>367</v>
      </c>
      <c r="D31" s="5" t="n">
        <v>1929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1844</v>
      </c>
      <c r="C32" s="5" t="n">
        <v>356</v>
      </c>
      <c r="D32" s="5" t="n">
        <v>9396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1845</v>
      </c>
      <c r="C33" s="5" t="n">
        <v>337</v>
      </c>
      <c r="D33" s="5" t="n">
        <v>3431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1846</v>
      </c>
      <c r="C34" s="5" t="n">
        <v>336</v>
      </c>
      <c r="D34" s="5" t="n">
        <v>5565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1847</v>
      </c>
      <c r="C35" s="5" t="n">
        <v>332</v>
      </c>
      <c r="D35" s="5" t="n">
        <v>6144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1848</v>
      </c>
      <c r="C36" s="5" t="n">
        <v>331</v>
      </c>
      <c r="D36" s="5" t="n">
        <v>1954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1849</v>
      </c>
      <c r="C37" s="5" t="n">
        <v>325</v>
      </c>
      <c r="D37" s="5" t="n">
        <v>11259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1850</v>
      </c>
      <c r="C38" s="5" t="n">
        <v>310</v>
      </c>
      <c r="D38" s="5" t="n">
        <v>2933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1851</v>
      </c>
      <c r="C39" s="5" t="n">
        <v>292</v>
      </c>
      <c r="D39" s="5" t="n">
        <v>610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1852</v>
      </c>
      <c r="C40" s="5" t="n">
        <v>268</v>
      </c>
      <c r="D40" s="5" t="n">
        <v>1070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1853</v>
      </c>
      <c r="C41" s="5" t="n">
        <v>258</v>
      </c>
      <c r="D41" s="5" t="n">
        <v>5228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1854</v>
      </c>
      <c r="C42" s="5" t="n">
        <v>258</v>
      </c>
      <c r="D42" s="5" t="n">
        <v>3535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1855</v>
      </c>
      <c r="C43" s="5" t="n">
        <v>258</v>
      </c>
      <c r="D43" s="5" t="n">
        <v>1375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1856</v>
      </c>
      <c r="C44" s="5" t="n">
        <v>257</v>
      </c>
      <c r="D44" s="5" t="n">
        <v>3436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1857</v>
      </c>
      <c r="C45" s="5" t="n">
        <v>244</v>
      </c>
      <c r="D45" s="5" t="n">
        <v>2478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1858</v>
      </c>
      <c r="C46" s="5" t="n">
        <v>241</v>
      </c>
      <c r="D46" s="5" t="n">
        <v>1625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1859</v>
      </c>
      <c r="C47" s="5" t="n">
        <v>236</v>
      </c>
      <c r="D47" s="5" t="n">
        <v>1262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1860</v>
      </c>
      <c r="C48" s="5" t="n">
        <v>234</v>
      </c>
      <c r="D48" s="5" t="n">
        <v>3333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1861</v>
      </c>
      <c r="C49" s="5" t="n">
        <v>232</v>
      </c>
      <c r="D49" s="5" t="n">
        <v>323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1862</v>
      </c>
      <c r="C50" s="5" t="n">
        <v>225</v>
      </c>
      <c r="D50" s="5" t="n">
        <v>1834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1863</v>
      </c>
      <c r="C51" s="5" t="n">
        <v>218</v>
      </c>
      <c r="D51" s="5" t="n">
        <v>1403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1864</v>
      </c>
      <c r="C52" s="5" t="n">
        <v>217</v>
      </c>
      <c r="D52" s="5" t="n">
        <v>3855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1865</v>
      </c>
      <c r="C53" s="5" t="n">
        <v>217</v>
      </c>
      <c r="D53" s="5" t="n">
        <v>1126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1866</v>
      </c>
      <c r="C54" s="5" t="n">
        <v>214</v>
      </c>
      <c r="D54" s="5" t="n">
        <v>1122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1867</v>
      </c>
      <c r="C55" s="5" t="n">
        <v>212</v>
      </c>
      <c r="D55" s="5" t="n">
        <v>617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1868</v>
      </c>
      <c r="C56" s="5" t="n">
        <v>211</v>
      </c>
      <c r="D56" s="5" t="n">
        <v>852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1869</v>
      </c>
      <c r="C57" s="5" t="n">
        <v>207</v>
      </c>
      <c r="D57" s="5" t="n">
        <v>115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1870</v>
      </c>
      <c r="C58" s="5" t="n">
        <v>205</v>
      </c>
      <c r="D58" s="5" t="n">
        <v>126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1871</v>
      </c>
      <c r="C59" s="5" t="n">
        <v>201</v>
      </c>
      <c r="D59" s="5" t="n">
        <v>1875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1872</v>
      </c>
      <c r="C60" s="5" t="n">
        <v>199</v>
      </c>
      <c r="D60" s="5" t="n">
        <v>512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1873</v>
      </c>
      <c r="C61" s="5" t="n">
        <v>198</v>
      </c>
      <c r="D61" s="5" t="n">
        <v>616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1874</v>
      </c>
      <c r="C62" s="5" t="n">
        <v>195</v>
      </c>
      <c r="D62" s="5" t="n">
        <v>1166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1875</v>
      </c>
      <c r="C63" s="5" t="n">
        <v>194</v>
      </c>
      <c r="D63" s="5" t="n">
        <v>417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1876</v>
      </c>
      <c r="C64" s="5" t="n">
        <v>193</v>
      </c>
      <c r="D64" s="5" t="n">
        <v>2462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1877</v>
      </c>
      <c r="C65" s="5" t="n">
        <v>193</v>
      </c>
      <c r="D65" s="5" t="n">
        <v>0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1878</v>
      </c>
      <c r="C66" s="5" t="n">
        <v>186</v>
      </c>
      <c r="D66" s="5" t="n">
        <v>3420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1879</v>
      </c>
      <c r="C67" s="5" t="n">
        <v>179</v>
      </c>
      <c r="D67" s="5" t="n">
        <v>140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1880</v>
      </c>
      <c r="C68" s="5" t="n">
        <v>166</v>
      </c>
      <c r="D68" s="5" t="n">
        <v>1845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1881</v>
      </c>
      <c r="C69" s="5" t="n">
        <v>163</v>
      </c>
      <c r="D69" s="5" t="n">
        <v>4291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1882</v>
      </c>
      <c r="C70" s="5" t="n">
        <v>162</v>
      </c>
      <c r="D70" s="5" t="n">
        <v>1199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1883</v>
      </c>
      <c r="C71" s="5" t="n">
        <v>158</v>
      </c>
      <c r="D71" s="5" t="n">
        <v>1684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1884</v>
      </c>
      <c r="C72" s="5" t="n">
        <v>157</v>
      </c>
      <c r="D72" s="5" t="n">
        <v>3741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1885</v>
      </c>
      <c r="C73" s="5" t="n">
        <v>157</v>
      </c>
      <c r="D73" s="5" t="n">
        <v>1739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1886</v>
      </c>
      <c r="C74" s="5" t="n">
        <v>153</v>
      </c>
      <c r="D74" s="5" t="n">
        <v>598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1887</v>
      </c>
      <c r="C75" s="5" t="n">
        <v>145</v>
      </c>
      <c r="D75" s="5" t="n">
        <v>0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1888</v>
      </c>
      <c r="C76" s="5" t="n">
        <v>143</v>
      </c>
      <c r="D76" s="5" t="n">
        <v>870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1889</v>
      </c>
      <c r="C77" s="5" t="n">
        <v>143</v>
      </c>
      <c r="D77" s="5" t="n">
        <v>419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1890</v>
      </c>
      <c r="C78" s="5" t="n">
        <v>141</v>
      </c>
      <c r="D78" s="5" t="n">
        <v>2579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1891</v>
      </c>
      <c r="C79" s="5" t="n">
        <v>138</v>
      </c>
      <c r="D79" s="5" t="n">
        <v>408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1892</v>
      </c>
      <c r="C80" s="5" t="n">
        <v>137</v>
      </c>
      <c r="D80" s="5" t="n">
        <v>1813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1893</v>
      </c>
      <c r="C81" s="5" t="n">
        <v>135</v>
      </c>
      <c r="D81" s="5" t="n">
        <v>638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1894</v>
      </c>
      <c r="C82" s="5" t="n">
        <v>133</v>
      </c>
      <c r="D82" s="5" t="n">
        <v>7212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1895</v>
      </c>
      <c r="C83" s="5" t="n">
        <v>130</v>
      </c>
      <c r="D83" s="5" t="n">
        <v>1518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1896</v>
      </c>
      <c r="C84" s="5" t="n">
        <v>130</v>
      </c>
      <c r="D84" s="5" t="n">
        <v>807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1897</v>
      </c>
      <c r="C85" s="5" t="n">
        <v>130</v>
      </c>
      <c r="D85" s="5" t="n">
        <v>707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1898</v>
      </c>
      <c r="C86" s="5" t="n">
        <v>128</v>
      </c>
      <c r="D86" s="5" t="n">
        <v>1693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1899</v>
      </c>
      <c r="C87" s="5" t="n">
        <v>127</v>
      </c>
      <c r="D87" s="5" t="n">
        <v>1564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1900</v>
      </c>
      <c r="C88" s="5" t="n">
        <v>126</v>
      </c>
      <c r="D88" s="5" t="n">
        <v>3889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1901</v>
      </c>
      <c r="C89" s="5" t="n">
        <v>124</v>
      </c>
      <c r="D89" s="5" t="n">
        <v>280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1902</v>
      </c>
      <c r="C90" s="5" t="n">
        <v>121</v>
      </c>
      <c r="D90" s="5" t="n">
        <v>1354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1903</v>
      </c>
      <c r="C91" s="5" t="n">
        <v>121</v>
      </c>
      <c r="D91" s="5" t="n">
        <v>420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1904</v>
      </c>
      <c r="C92" s="5" t="n">
        <v>119</v>
      </c>
      <c r="D92" s="5" t="n">
        <v>576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1905</v>
      </c>
      <c r="C93" s="5" t="n">
        <v>117</v>
      </c>
      <c r="D93" s="5" t="n">
        <v>477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1906</v>
      </c>
      <c r="C94" s="5" t="n">
        <v>117</v>
      </c>
      <c r="D94" s="5" t="n">
        <v>223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1907</v>
      </c>
      <c r="C95" s="5" t="n">
        <v>116</v>
      </c>
      <c r="D95" s="5" t="n">
        <v>6082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1908</v>
      </c>
      <c r="C96" s="5" t="n">
        <v>114</v>
      </c>
      <c r="D96" s="5" t="n">
        <v>1069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1909</v>
      </c>
      <c r="C97" s="5" t="n">
        <v>113</v>
      </c>
      <c r="D97" s="5" t="n">
        <v>278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1910</v>
      </c>
      <c r="C98" s="5" t="n">
        <v>113</v>
      </c>
      <c r="D98" s="5" t="n">
        <v>0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1911</v>
      </c>
      <c r="C99" s="5" t="n">
        <v>112</v>
      </c>
      <c r="D99" s="5" t="n">
        <v>8950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1912</v>
      </c>
      <c r="C100" s="5" t="n">
        <v>112</v>
      </c>
      <c r="D100" s="5" t="n">
        <v>749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1913</v>
      </c>
      <c r="C101" s="5" t="n">
        <v>112</v>
      </c>
      <c r="D101" s="5" t="n">
        <v>510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1914</v>
      </c>
      <c r="C102" s="5" t="n">
        <v>110</v>
      </c>
      <c r="D102" s="5" t="n">
        <v>471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1915</v>
      </c>
      <c r="C103" s="5" t="n">
        <v>110</v>
      </c>
      <c r="D103" s="5" t="n">
        <v>401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1916</v>
      </c>
      <c r="C104" s="5" t="n">
        <v>109</v>
      </c>
      <c r="D104" s="5" t="n">
        <v>2263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1917</v>
      </c>
      <c r="C105" s="5" t="n">
        <v>109</v>
      </c>
      <c r="D105" s="5" t="n">
        <v>1605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1918</v>
      </c>
      <c r="C106" s="5" t="n">
        <v>108</v>
      </c>
      <c r="D106" s="5" t="n">
        <v>251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1919</v>
      </c>
      <c r="C107" s="5" t="n">
        <v>107</v>
      </c>
      <c r="D107" s="5" t="n">
        <v>735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1920</v>
      </c>
      <c r="C108" s="5" t="n">
        <v>105</v>
      </c>
      <c r="D108" s="5" t="n">
        <v>2370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1921</v>
      </c>
      <c r="C109" s="5" t="n">
        <v>105</v>
      </c>
      <c r="D109" s="5" t="n">
        <v>457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1922</v>
      </c>
      <c r="C110" s="5" t="n">
        <v>103</v>
      </c>
      <c r="D110" s="5" t="n">
        <v>1800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1923</v>
      </c>
      <c r="C111" s="5" t="n">
        <v>102</v>
      </c>
      <c r="D111" s="5" t="n">
        <v>1896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1924</v>
      </c>
      <c r="C112" s="5" t="n">
        <v>102</v>
      </c>
      <c r="D112" s="5" t="n">
        <v>1780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1925</v>
      </c>
      <c r="C113" s="5" t="n">
        <v>102</v>
      </c>
      <c r="D113" s="5" t="n">
        <v>1182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1926</v>
      </c>
      <c r="C114" s="5" t="n">
        <v>100</v>
      </c>
      <c r="D114" s="5" t="n">
        <v>1785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1927</v>
      </c>
      <c r="C115" s="5" t="n">
        <v>100</v>
      </c>
      <c r="D115" s="5" t="n">
        <v>1391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1928</v>
      </c>
      <c r="C116" s="5" t="n">
        <v>100</v>
      </c>
      <c r="D116" s="5" t="n">
        <v>662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1929</v>
      </c>
      <c r="C117" s="5" t="n">
        <v>99</v>
      </c>
      <c r="D117" s="5" t="n">
        <v>392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1930</v>
      </c>
      <c r="C118" s="5" t="n">
        <v>98</v>
      </c>
      <c r="D118" s="5" t="n">
        <v>1522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1931</v>
      </c>
      <c r="C119" s="5" t="n">
        <v>98</v>
      </c>
      <c r="D119" s="5" t="n">
        <v>1375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1932</v>
      </c>
      <c r="C120" s="5" t="n">
        <v>97</v>
      </c>
      <c r="D120" s="5" t="n">
        <v>366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1933</v>
      </c>
      <c r="C121" s="5" t="n">
        <v>95</v>
      </c>
      <c r="D121" s="5" t="n">
        <v>10913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1934</v>
      </c>
      <c r="C122" s="5" t="n">
        <v>94</v>
      </c>
      <c r="D122" s="5" t="n">
        <v>418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1935</v>
      </c>
      <c r="C123" s="5" t="n">
        <v>94</v>
      </c>
      <c r="D123" s="5" t="n">
        <v>67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1936</v>
      </c>
      <c r="C124" s="5" t="n">
        <v>93</v>
      </c>
      <c r="D124" s="5" t="n">
        <v>633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1937</v>
      </c>
      <c r="C125" s="5" t="n">
        <v>91</v>
      </c>
      <c r="D125" s="5" t="n">
        <v>761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1938</v>
      </c>
      <c r="C126" s="5" t="n">
        <v>88</v>
      </c>
      <c r="D126" s="5" t="n">
        <v>3172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1939</v>
      </c>
      <c r="C127" s="5" t="n">
        <v>88</v>
      </c>
      <c r="D127" s="5" t="n">
        <v>337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1940</v>
      </c>
      <c r="C128" s="5" t="n">
        <v>87</v>
      </c>
      <c r="D128" s="5" t="n">
        <v>422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1941</v>
      </c>
      <c r="C129" s="5" t="n">
        <v>87</v>
      </c>
      <c r="D129" s="5" t="n">
        <v>332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1942</v>
      </c>
      <c r="C130" s="5" t="n">
        <v>84</v>
      </c>
      <c r="D130" s="5" t="n">
        <v>1447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1943</v>
      </c>
      <c r="C131" s="5" t="n">
        <v>84</v>
      </c>
      <c r="D131" s="5" t="n">
        <v>891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1944</v>
      </c>
      <c r="C132" s="5" t="n">
        <v>84</v>
      </c>
      <c r="D132" s="5" t="n">
        <v>248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1945</v>
      </c>
      <c r="C133" s="5" t="n">
        <v>82</v>
      </c>
      <c r="D133" s="5" t="n">
        <v>644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1946</v>
      </c>
      <c r="C134" s="5" t="n">
        <v>81</v>
      </c>
      <c r="D134" s="5" t="n">
        <v>0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1947</v>
      </c>
      <c r="C135" s="5" t="n">
        <v>79</v>
      </c>
      <c r="D135" s="5" t="n">
        <v>4766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1948</v>
      </c>
      <c r="C136" s="5" t="n">
        <v>79</v>
      </c>
      <c r="D136" s="5" t="n">
        <v>1084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1949</v>
      </c>
      <c r="C137" s="5" t="n">
        <v>79</v>
      </c>
      <c r="D137" s="5" t="n">
        <v>672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1950</v>
      </c>
      <c r="C138" s="5" t="n">
        <v>78</v>
      </c>
      <c r="D138" s="5" t="n">
        <v>161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1951</v>
      </c>
      <c r="C139" s="5" t="n">
        <v>77</v>
      </c>
      <c r="D139" s="5" t="n">
        <v>1278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1952</v>
      </c>
      <c r="C140" s="5" t="n">
        <v>77</v>
      </c>
      <c r="D140" s="5" t="n">
        <v>1158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1953</v>
      </c>
      <c r="C141" s="5" t="n">
        <v>76</v>
      </c>
      <c r="D141" s="5" t="n">
        <v>846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1954</v>
      </c>
      <c r="C142" s="5" t="n">
        <v>75</v>
      </c>
      <c r="D142" s="5" t="n">
        <v>383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1955</v>
      </c>
      <c r="C143" s="5" t="n">
        <v>75</v>
      </c>
      <c r="D143" s="5" t="n">
        <v>238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1956</v>
      </c>
      <c r="C144" s="5" t="n">
        <v>75</v>
      </c>
      <c r="D144" s="5" t="n">
        <v>220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1957</v>
      </c>
      <c r="C145" s="5" t="n">
        <v>74</v>
      </c>
      <c r="D145" s="5" t="n">
        <v>417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1958</v>
      </c>
      <c r="C146" s="5" t="n">
        <v>73</v>
      </c>
      <c r="D146" s="5" t="n">
        <v>584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1959</v>
      </c>
      <c r="C147" s="5" t="n">
        <v>73</v>
      </c>
      <c r="D147" s="5" t="n">
        <v>320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1960</v>
      </c>
      <c r="C148" s="5" t="n">
        <v>72</v>
      </c>
      <c r="D148" s="5" t="n">
        <v>830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1961</v>
      </c>
      <c r="C149" s="5" t="n">
        <v>69</v>
      </c>
      <c r="D149" s="5" t="n">
        <v>526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1962</v>
      </c>
      <c r="C150" s="5" t="n">
        <v>68</v>
      </c>
      <c r="D150" s="5" t="n">
        <v>663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1963</v>
      </c>
      <c r="C151" s="5" t="n">
        <v>67</v>
      </c>
      <c r="D151" s="5" t="n">
        <v>2862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1964</v>
      </c>
      <c r="C152" s="5" t="n">
        <v>67</v>
      </c>
      <c r="D152" s="5" t="n">
        <v>637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1965</v>
      </c>
      <c r="C153" s="5" t="n">
        <v>67</v>
      </c>
      <c r="D153" s="5" t="n">
        <v>213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1966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1967</v>
      </c>
      <c r="C4" s="5" t="n">
        <v>25378</v>
      </c>
      <c r="D4" s="5" t="n">
        <v>184712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1968</v>
      </c>
      <c r="C5" s="5" t="n">
        <v>11662</v>
      </c>
      <c r="D5" s="5" t="n">
        <v>121530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1969</v>
      </c>
      <c r="C6" s="5" t="n">
        <v>9439</v>
      </c>
      <c r="D6" s="5" t="n">
        <v>38322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1970</v>
      </c>
      <c r="C7" s="5" t="n">
        <v>9034</v>
      </c>
      <c r="D7" s="5" t="n">
        <v>30980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1971</v>
      </c>
      <c r="C8" s="5" t="n">
        <v>7837</v>
      </c>
      <c r="D8" s="5" t="n">
        <v>50710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1972</v>
      </c>
      <c r="C9" s="5" t="n">
        <v>7798</v>
      </c>
      <c r="D9" s="5" t="n">
        <v>48379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1973</v>
      </c>
      <c r="C10" s="5" t="n">
        <v>5561</v>
      </c>
      <c r="D10" s="5" t="n">
        <v>21080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1974</v>
      </c>
      <c r="C11" s="5" t="n">
        <v>3563</v>
      </c>
      <c r="D11" s="5" t="n">
        <v>55654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1975</v>
      </c>
      <c r="C12" s="5" t="n">
        <v>3236</v>
      </c>
      <c r="D12" s="5" t="n">
        <v>20126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1976</v>
      </c>
      <c r="C13" s="5" t="n">
        <v>2474</v>
      </c>
      <c r="D13" s="5" t="n">
        <v>18063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1977</v>
      </c>
      <c r="C14" s="5" t="n">
        <v>2207</v>
      </c>
      <c r="D14" s="5" t="n">
        <v>13708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1978</v>
      </c>
      <c r="C15" s="5" t="n">
        <v>2203</v>
      </c>
      <c r="D15" s="5" t="n">
        <v>13706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1979</v>
      </c>
      <c r="C16" s="5" t="n">
        <v>2158</v>
      </c>
      <c r="D16" s="5" t="n">
        <v>11516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1980</v>
      </c>
      <c r="C17" s="5" t="n">
        <v>1639</v>
      </c>
      <c r="D17" s="5" t="n">
        <v>27939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1981</v>
      </c>
      <c r="C18" s="5" t="n">
        <v>1607</v>
      </c>
      <c r="D18" s="5" t="n">
        <v>18206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1982</v>
      </c>
      <c r="C19" s="5" t="n">
        <v>1533</v>
      </c>
      <c r="D19" s="5" t="n">
        <v>16072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1983</v>
      </c>
      <c r="C20" s="5" t="n">
        <v>1444</v>
      </c>
      <c r="D20" s="5" t="n">
        <v>24666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1984</v>
      </c>
      <c r="C21" s="5" t="n">
        <v>1246</v>
      </c>
      <c r="D21" s="5" t="n">
        <v>17219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1985</v>
      </c>
      <c r="C22" s="5" t="n">
        <v>1243</v>
      </c>
      <c r="D22" s="5" t="n">
        <v>5435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1986</v>
      </c>
      <c r="C23" s="5" t="n">
        <v>1242</v>
      </c>
      <c r="D23" s="5" t="n">
        <v>5251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1987</v>
      </c>
      <c r="C24" s="5" t="n">
        <v>1126</v>
      </c>
      <c r="D24" s="5" t="n">
        <v>9239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1988</v>
      </c>
      <c r="C25" s="5" t="n">
        <v>1032</v>
      </c>
      <c r="D25" s="5" t="n">
        <v>16404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1989</v>
      </c>
      <c r="C26" s="5" t="n">
        <v>891</v>
      </c>
      <c r="D26" s="5" t="n">
        <v>3012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1990</v>
      </c>
      <c r="C27" s="5" t="n">
        <v>879</v>
      </c>
      <c r="D27" s="5" t="n">
        <v>16122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1991</v>
      </c>
      <c r="C28" s="5" t="n">
        <v>874</v>
      </c>
      <c r="D28" s="5" t="n">
        <v>7104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1992</v>
      </c>
      <c r="C29" s="5" t="n">
        <v>841</v>
      </c>
      <c r="D29" s="5" t="n">
        <v>7083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1993</v>
      </c>
      <c r="C30" s="5" t="n">
        <v>767</v>
      </c>
      <c r="D30" s="5" t="n">
        <v>1315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1994</v>
      </c>
      <c r="C31" s="5" t="n">
        <v>753</v>
      </c>
      <c r="D31" s="5" t="n">
        <v>1695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1995</v>
      </c>
      <c r="C32" s="5" t="n">
        <v>733</v>
      </c>
      <c r="D32" s="5" t="n">
        <v>11877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1996</v>
      </c>
      <c r="C33" s="5" t="n">
        <v>704</v>
      </c>
      <c r="D33" s="5" t="n">
        <v>1666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1997</v>
      </c>
      <c r="C34" s="5" t="n">
        <v>689</v>
      </c>
      <c r="D34" s="5" t="n">
        <v>4603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1998</v>
      </c>
      <c r="C35" s="5" t="n">
        <v>638</v>
      </c>
      <c r="D35" s="5" t="n">
        <v>2210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1999</v>
      </c>
      <c r="C36" s="5" t="n">
        <v>629</v>
      </c>
      <c r="D36" s="5" t="n">
        <v>949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2000</v>
      </c>
      <c r="C37" s="5" t="n">
        <v>624</v>
      </c>
      <c r="D37" s="5" t="n">
        <v>4676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2001</v>
      </c>
      <c r="C38" s="5" t="n">
        <v>609</v>
      </c>
      <c r="D38" s="5" t="n">
        <v>7147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2002</v>
      </c>
      <c r="C39" s="5" t="n">
        <v>603</v>
      </c>
      <c r="D39" s="5" t="n">
        <v>10722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2003</v>
      </c>
      <c r="C40" s="5" t="n">
        <v>583</v>
      </c>
      <c r="D40" s="5" t="n">
        <v>4152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2004</v>
      </c>
      <c r="C41" s="5" t="n">
        <v>569</v>
      </c>
      <c r="D41" s="5" t="n">
        <v>4152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2005</v>
      </c>
      <c r="C42" s="5" t="n">
        <v>565</v>
      </c>
      <c r="D42" s="5" t="n">
        <v>28839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2006</v>
      </c>
      <c r="C43" s="5" t="n">
        <v>563</v>
      </c>
      <c r="D43" s="5" t="n">
        <v>2806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2007</v>
      </c>
      <c r="C44" s="5" t="n">
        <v>555</v>
      </c>
      <c r="D44" s="5" t="n">
        <v>10448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2008</v>
      </c>
      <c r="C45" s="5" t="n">
        <v>531</v>
      </c>
      <c r="D45" s="5" t="n">
        <v>4604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2009</v>
      </c>
      <c r="C46" s="5" t="n">
        <v>527</v>
      </c>
      <c r="D46" s="5" t="n">
        <v>3373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2010</v>
      </c>
      <c r="C47" s="5" t="n">
        <v>516</v>
      </c>
      <c r="D47" s="5" t="n">
        <v>2632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2011</v>
      </c>
      <c r="C48" s="5" t="n">
        <v>513</v>
      </c>
      <c r="D48" s="5" t="n">
        <v>998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2012</v>
      </c>
      <c r="C49" s="5" t="n">
        <v>499</v>
      </c>
      <c r="D49" s="5" t="n">
        <v>1474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2013</v>
      </c>
      <c r="C50" s="5" t="n">
        <v>493</v>
      </c>
      <c r="D50" s="5" t="n">
        <v>2692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2014</v>
      </c>
      <c r="C51" s="5" t="n">
        <v>483</v>
      </c>
      <c r="D51" s="5" t="n">
        <v>2486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2015</v>
      </c>
      <c r="C52" s="5" t="n">
        <v>473</v>
      </c>
      <c r="D52" s="5" t="n">
        <v>2857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2016</v>
      </c>
      <c r="C53" s="5" t="n">
        <v>465</v>
      </c>
      <c r="D53" s="5" t="n">
        <v>10066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2017</v>
      </c>
      <c r="C54" s="5" t="n">
        <v>465</v>
      </c>
      <c r="D54" s="5" t="n">
        <v>2691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2018</v>
      </c>
      <c r="C55" s="5" t="n">
        <v>465</v>
      </c>
      <c r="D55" s="5" t="n">
        <v>2475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2019</v>
      </c>
      <c r="C56" s="5" t="n">
        <v>442</v>
      </c>
      <c r="D56" s="5" t="n">
        <v>1839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2020</v>
      </c>
      <c r="C57" s="5" t="n">
        <v>437</v>
      </c>
      <c r="D57" s="5" t="n">
        <v>14670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2021</v>
      </c>
      <c r="C58" s="5" t="n">
        <v>436</v>
      </c>
      <c r="D58" s="5" t="n">
        <v>21726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2022</v>
      </c>
      <c r="C59" s="5" t="n">
        <v>428</v>
      </c>
      <c r="D59" s="5" t="n">
        <v>5291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2023</v>
      </c>
      <c r="C60" s="5" t="n">
        <v>409</v>
      </c>
      <c r="D60" s="5" t="n">
        <v>1380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2024</v>
      </c>
      <c r="C61" s="5" t="n">
        <v>396</v>
      </c>
      <c r="D61" s="5" t="n">
        <v>1632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2025</v>
      </c>
      <c r="C62" s="5" t="n">
        <v>394</v>
      </c>
      <c r="D62" s="5" t="n">
        <v>3521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2026</v>
      </c>
      <c r="C63" s="5" t="n">
        <v>394</v>
      </c>
      <c r="D63" s="5" t="n">
        <v>1262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2027</v>
      </c>
      <c r="C64" s="5" t="n">
        <v>392</v>
      </c>
      <c r="D64" s="5" t="n">
        <v>2210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2028</v>
      </c>
      <c r="C65" s="5" t="n">
        <v>390</v>
      </c>
      <c r="D65" s="5" t="n">
        <v>457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2029</v>
      </c>
      <c r="C66" s="5" t="n">
        <v>382</v>
      </c>
      <c r="D66" s="5" t="n">
        <v>581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2030</v>
      </c>
      <c r="C67" s="5" t="n">
        <v>378</v>
      </c>
      <c r="D67" s="5" t="n">
        <v>4481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2031</v>
      </c>
      <c r="C68" s="5" t="n">
        <v>370</v>
      </c>
      <c r="D68" s="5" t="n">
        <v>3558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2032</v>
      </c>
      <c r="C69" s="5" t="n">
        <v>361</v>
      </c>
      <c r="D69" s="5" t="n">
        <v>1239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2033</v>
      </c>
      <c r="C70" s="5" t="n">
        <v>359</v>
      </c>
      <c r="D70" s="5" t="n">
        <v>2706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2034</v>
      </c>
      <c r="C71" s="5" t="n">
        <v>350</v>
      </c>
      <c r="D71" s="5" t="n">
        <v>2346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2035</v>
      </c>
      <c r="C72" s="5" t="n">
        <v>349</v>
      </c>
      <c r="D72" s="5" t="n">
        <v>959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2036</v>
      </c>
      <c r="C73" s="5" t="n">
        <v>348</v>
      </c>
      <c r="D73" s="5" t="n">
        <v>5770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2037</v>
      </c>
      <c r="C74" s="5" t="n">
        <v>340</v>
      </c>
      <c r="D74" s="5" t="n">
        <v>1650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2038</v>
      </c>
      <c r="C75" s="5" t="n">
        <v>335</v>
      </c>
      <c r="D75" s="5" t="n">
        <v>2219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2039</v>
      </c>
      <c r="C76" s="5" t="n">
        <v>335</v>
      </c>
      <c r="D76" s="5" t="n">
        <v>634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2040</v>
      </c>
      <c r="C77" s="5" t="n">
        <v>324</v>
      </c>
      <c r="D77" s="5" t="n">
        <v>352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2041</v>
      </c>
      <c r="C78" s="5" t="n">
        <v>315</v>
      </c>
      <c r="D78" s="5" t="n">
        <v>5340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2042</v>
      </c>
      <c r="C79" s="5" t="n">
        <v>312</v>
      </c>
      <c r="D79" s="5" t="n">
        <v>4140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2043</v>
      </c>
      <c r="C80" s="5" t="n">
        <v>306</v>
      </c>
      <c r="D80" s="5" t="n">
        <v>3392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2044</v>
      </c>
      <c r="C81" s="5" t="n">
        <v>292</v>
      </c>
      <c r="D81" s="5" t="n">
        <v>9230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2045</v>
      </c>
      <c r="C82" s="5" t="n">
        <v>274</v>
      </c>
      <c r="D82" s="5" t="n">
        <v>937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2046</v>
      </c>
      <c r="C83" s="5" t="n">
        <v>260</v>
      </c>
      <c r="D83" s="5" t="n">
        <v>28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2047</v>
      </c>
      <c r="C84" s="5" t="n">
        <v>258</v>
      </c>
      <c r="D84" s="5" t="n">
        <v>0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2048</v>
      </c>
      <c r="C85" s="5" t="n">
        <v>255</v>
      </c>
      <c r="D85" s="5" t="n">
        <v>2139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2049</v>
      </c>
      <c r="C86" s="5" t="n">
        <v>251</v>
      </c>
      <c r="D86" s="5" t="n">
        <v>3888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2050</v>
      </c>
      <c r="C87" s="5" t="n">
        <v>240</v>
      </c>
      <c r="D87" s="5" t="n">
        <v>1514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2051</v>
      </c>
      <c r="C88" s="5" t="n">
        <v>237</v>
      </c>
      <c r="D88" s="5" t="n">
        <v>12711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2052</v>
      </c>
      <c r="C89" s="5" t="n">
        <v>232</v>
      </c>
      <c r="D89" s="5" t="n">
        <v>2055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2053</v>
      </c>
      <c r="C90" s="5" t="n">
        <v>229</v>
      </c>
      <c r="D90" s="5" t="n">
        <v>7180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2054</v>
      </c>
      <c r="C91" s="5" t="n">
        <v>229</v>
      </c>
      <c r="D91" s="5" t="n">
        <v>273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2055</v>
      </c>
      <c r="C92" s="5" t="n">
        <v>227</v>
      </c>
      <c r="D92" s="5" t="n">
        <v>303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2056</v>
      </c>
      <c r="C93" s="5" t="n">
        <v>224</v>
      </c>
      <c r="D93" s="5" t="n">
        <v>2088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2057</v>
      </c>
      <c r="C94" s="5" t="n">
        <v>222</v>
      </c>
      <c r="D94" s="5" t="n">
        <v>1574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2058</v>
      </c>
      <c r="C95" s="5" t="n">
        <v>222</v>
      </c>
      <c r="D95" s="5" t="n">
        <v>747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2059</v>
      </c>
      <c r="C96" s="5" t="n">
        <v>220</v>
      </c>
      <c r="D96" s="5" t="n">
        <v>13868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2060</v>
      </c>
      <c r="C97" s="5" t="n">
        <v>216</v>
      </c>
      <c r="D97" s="5" t="n">
        <v>959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2061</v>
      </c>
      <c r="C98" s="5" t="n">
        <v>213</v>
      </c>
      <c r="D98" s="5" t="n">
        <v>3267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2062</v>
      </c>
      <c r="C99" s="5" t="n">
        <v>211</v>
      </c>
      <c r="D99" s="5" t="n">
        <v>3549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2063</v>
      </c>
      <c r="C100" s="5" t="n">
        <v>210</v>
      </c>
      <c r="D100" s="5" t="n">
        <v>2387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2064</v>
      </c>
      <c r="C101" s="5" t="n">
        <v>208</v>
      </c>
      <c r="D101" s="5" t="n">
        <v>1435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2065</v>
      </c>
      <c r="C102" s="5" t="n">
        <v>204</v>
      </c>
      <c r="D102" s="5" t="n">
        <v>838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2066</v>
      </c>
      <c r="C103" s="5" t="n">
        <v>202</v>
      </c>
      <c r="D103" s="5" t="n">
        <v>1222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2067</v>
      </c>
      <c r="C104" s="5" t="n">
        <v>202</v>
      </c>
      <c r="D104" s="5" t="n">
        <v>873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2068</v>
      </c>
      <c r="C105" s="5" t="n">
        <v>198</v>
      </c>
      <c r="D105" s="5" t="n">
        <v>1746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2069</v>
      </c>
      <c r="C106" s="5" t="n">
        <v>191</v>
      </c>
      <c r="D106" s="5" t="n">
        <v>2319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2070</v>
      </c>
      <c r="C107" s="5" t="n">
        <v>183</v>
      </c>
      <c r="D107" s="5" t="n">
        <v>2502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2071</v>
      </c>
      <c r="C108" s="5" t="n">
        <v>182</v>
      </c>
      <c r="D108" s="5" t="n">
        <v>1620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2072</v>
      </c>
      <c r="C109" s="5" t="n">
        <v>181</v>
      </c>
      <c r="D109" s="5" t="n">
        <v>2327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2073</v>
      </c>
      <c r="C110" s="5" t="n">
        <v>174</v>
      </c>
      <c r="D110" s="5" t="n">
        <v>4905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2074</v>
      </c>
      <c r="C111" s="5" t="n">
        <v>174</v>
      </c>
      <c r="D111" s="5" t="n">
        <v>1633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2075</v>
      </c>
      <c r="C112" s="5" t="n">
        <v>166</v>
      </c>
      <c r="D112" s="5" t="n">
        <v>1628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2076</v>
      </c>
      <c r="C113" s="5" t="n">
        <v>165</v>
      </c>
      <c r="D113" s="5" t="n">
        <v>1905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2077</v>
      </c>
      <c r="C114" s="5" t="n">
        <v>163</v>
      </c>
      <c r="D114" s="5" t="n">
        <v>1467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2078</v>
      </c>
      <c r="C115" s="5" t="n">
        <v>160</v>
      </c>
      <c r="D115" s="5" t="n">
        <v>2849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2079</v>
      </c>
      <c r="C116" s="5" t="n">
        <v>160</v>
      </c>
      <c r="D116" s="5" t="n">
        <v>1004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2080</v>
      </c>
      <c r="C117" s="5" t="n">
        <v>155</v>
      </c>
      <c r="D117" s="5" t="n">
        <v>632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2081</v>
      </c>
      <c r="C118" s="5" t="n">
        <v>154</v>
      </c>
      <c r="D118" s="5" t="n">
        <v>4625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2082</v>
      </c>
      <c r="C119" s="5" t="n">
        <v>154</v>
      </c>
      <c r="D119" s="5" t="n">
        <v>348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2083</v>
      </c>
      <c r="C120" s="5" t="n">
        <v>152</v>
      </c>
      <c r="D120" s="5" t="n">
        <v>2154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2084</v>
      </c>
      <c r="C121" s="5" t="n">
        <v>149</v>
      </c>
      <c r="D121" s="5" t="n">
        <v>7666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2085</v>
      </c>
      <c r="C122" s="5" t="n">
        <v>144</v>
      </c>
      <c r="D122" s="5" t="n">
        <v>521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2086</v>
      </c>
      <c r="C123" s="5" t="n">
        <v>144</v>
      </c>
      <c r="D123" s="5" t="n">
        <v>494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2087</v>
      </c>
      <c r="C124" s="5" t="n">
        <v>143</v>
      </c>
      <c r="D124" s="5" t="n">
        <v>1142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2088</v>
      </c>
      <c r="C125" s="5" t="n">
        <v>142</v>
      </c>
      <c r="D125" s="5" t="n">
        <v>547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2089</v>
      </c>
      <c r="C126" s="5" t="n">
        <v>141</v>
      </c>
      <c r="D126" s="5" t="n">
        <v>4978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2090</v>
      </c>
      <c r="C127" s="5" t="n">
        <v>138</v>
      </c>
      <c r="D127" s="5" t="n">
        <v>658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2091</v>
      </c>
      <c r="C128" s="5" t="n">
        <v>136</v>
      </c>
      <c r="D128" s="5" t="n">
        <v>708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2092</v>
      </c>
      <c r="C129" s="5" t="n">
        <v>133</v>
      </c>
      <c r="D129" s="5" t="n">
        <v>737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2093</v>
      </c>
      <c r="C130" s="5" t="n">
        <v>129</v>
      </c>
      <c r="D130" s="5" t="n">
        <v>605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2094</v>
      </c>
      <c r="C131" s="5" t="n">
        <v>128</v>
      </c>
      <c r="D131" s="5" t="n">
        <v>703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2095</v>
      </c>
      <c r="C132" s="5" t="n">
        <v>128</v>
      </c>
      <c r="D132" s="5" t="n">
        <v>315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2096</v>
      </c>
      <c r="C133" s="5" t="n">
        <v>127</v>
      </c>
      <c r="D133" s="5" t="n">
        <v>2250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2097</v>
      </c>
      <c r="C134" s="5" t="n">
        <v>127</v>
      </c>
      <c r="D134" s="5" t="n">
        <v>825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2098</v>
      </c>
      <c r="C135" s="5" t="n">
        <v>125</v>
      </c>
      <c r="D135" s="5" t="n">
        <v>1394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2099</v>
      </c>
      <c r="C136" s="5" t="n">
        <v>124</v>
      </c>
      <c r="D136" s="5" t="n">
        <v>2443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2100</v>
      </c>
      <c r="C137" s="5" t="n">
        <v>123</v>
      </c>
      <c r="D137" s="5" t="n">
        <v>3452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2101</v>
      </c>
      <c r="C138" s="5" t="n">
        <v>123</v>
      </c>
      <c r="D138" s="5" t="n">
        <v>129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2102</v>
      </c>
      <c r="C139" s="5" t="n">
        <v>122</v>
      </c>
      <c r="D139" s="5" t="n">
        <v>1390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2103</v>
      </c>
      <c r="C140" s="5" t="n">
        <v>122</v>
      </c>
      <c r="D140" s="5" t="n">
        <v>872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2104</v>
      </c>
      <c r="C141" s="5" t="n">
        <v>120</v>
      </c>
      <c r="D141" s="5" t="n">
        <v>2501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2105</v>
      </c>
      <c r="C142" s="5" t="n">
        <v>119</v>
      </c>
      <c r="D142" s="5" t="n">
        <v>680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2106</v>
      </c>
      <c r="C143" s="5" t="n">
        <v>116</v>
      </c>
      <c r="D143" s="5" t="n">
        <v>991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2107</v>
      </c>
      <c r="C144" s="5" t="n">
        <v>116</v>
      </c>
      <c r="D144" s="5" t="n">
        <v>573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2108</v>
      </c>
      <c r="C145" s="5" t="n">
        <v>115</v>
      </c>
      <c r="D145" s="5" t="n">
        <v>557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2109</v>
      </c>
      <c r="C146" s="5" t="n">
        <v>115</v>
      </c>
      <c r="D146" s="5" t="n">
        <v>219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2110</v>
      </c>
      <c r="C147" s="5" t="n">
        <v>113</v>
      </c>
      <c r="D147" s="5" t="n">
        <v>2693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2111</v>
      </c>
      <c r="C148" s="5" t="n">
        <v>111</v>
      </c>
      <c r="D148" s="5" t="n">
        <v>4546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2112</v>
      </c>
      <c r="C149" s="5" t="n">
        <v>110</v>
      </c>
      <c r="D149" s="5" t="n">
        <v>627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2113</v>
      </c>
      <c r="C150" s="5" t="n">
        <v>108</v>
      </c>
      <c r="D150" s="5" t="n">
        <v>2571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2114</v>
      </c>
      <c r="C151" s="5" t="n">
        <v>108</v>
      </c>
      <c r="D151" s="5" t="n">
        <v>269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2115</v>
      </c>
      <c r="C152" s="5" t="n">
        <v>108</v>
      </c>
      <c r="D152" s="5" t="n">
        <v>134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2116</v>
      </c>
      <c r="C153" s="5" t="n">
        <v>107</v>
      </c>
      <c r="D153" s="5" t="n">
        <v>2108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2117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2118</v>
      </c>
      <c r="C4" s="5" t="n">
        <v>1212</v>
      </c>
      <c r="D4" s="5" t="n">
        <v>13998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2119</v>
      </c>
      <c r="C5" s="5" t="n">
        <v>800</v>
      </c>
      <c r="D5" s="5" t="n">
        <v>17284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2120</v>
      </c>
      <c r="C6" s="5" t="n">
        <v>749</v>
      </c>
      <c r="D6" s="5" t="n">
        <v>1539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2121</v>
      </c>
      <c r="C7" s="5" t="n">
        <v>633</v>
      </c>
      <c r="D7" s="5" t="n">
        <v>5885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2122</v>
      </c>
      <c r="C8" s="5" t="n">
        <v>593</v>
      </c>
      <c r="D8" s="5" t="n">
        <v>528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2123</v>
      </c>
      <c r="C9" s="5" t="n">
        <v>449</v>
      </c>
      <c r="D9" s="5" t="n">
        <v>9843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2124</v>
      </c>
      <c r="C10" s="5" t="n">
        <v>448</v>
      </c>
      <c r="D10" s="5" t="n">
        <v>2379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2125</v>
      </c>
      <c r="C11" s="5" t="n">
        <v>418</v>
      </c>
      <c r="D11" s="5" t="n">
        <v>5770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2126</v>
      </c>
      <c r="C12" s="5" t="n">
        <v>404</v>
      </c>
      <c r="D12" s="5" t="n">
        <v>4414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2127</v>
      </c>
      <c r="C13" s="5" t="n">
        <v>286</v>
      </c>
      <c r="D13" s="5" t="n">
        <v>670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2128</v>
      </c>
      <c r="C14" s="5" t="n">
        <v>260</v>
      </c>
      <c r="D14" s="5" t="n">
        <v>1236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2129</v>
      </c>
      <c r="C15" s="5" t="n">
        <v>256</v>
      </c>
      <c r="D15" s="5" t="n">
        <v>1322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2130</v>
      </c>
      <c r="C16" s="5" t="n">
        <v>241</v>
      </c>
      <c r="D16" s="5" t="n">
        <v>19379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2131</v>
      </c>
      <c r="C17" s="5" t="n">
        <v>225</v>
      </c>
      <c r="D17" s="5" t="n">
        <v>5245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2132</v>
      </c>
      <c r="C18" s="5" t="n">
        <v>223</v>
      </c>
      <c r="D18" s="5" t="n">
        <v>6226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2133</v>
      </c>
      <c r="C19" s="5" t="n">
        <v>204</v>
      </c>
      <c r="D19" s="5" t="n">
        <v>4301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2134</v>
      </c>
      <c r="C20" s="5" t="n">
        <v>188</v>
      </c>
      <c r="D20" s="5" t="n">
        <v>935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2135</v>
      </c>
      <c r="C21" s="5" t="n">
        <v>169</v>
      </c>
      <c r="D21" s="5" t="n">
        <v>842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2136</v>
      </c>
      <c r="C22" s="5" t="n">
        <v>158</v>
      </c>
      <c r="D22" s="5" t="n">
        <v>1093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2137</v>
      </c>
      <c r="C23" s="5" t="n">
        <v>149</v>
      </c>
      <c r="D23" s="5" t="n">
        <v>1480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2138</v>
      </c>
      <c r="C24" s="5" t="n">
        <v>148</v>
      </c>
      <c r="D24" s="5" t="n">
        <v>917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2139</v>
      </c>
      <c r="C25" s="5" t="n">
        <v>125</v>
      </c>
      <c r="D25" s="5" t="n">
        <v>562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2140</v>
      </c>
      <c r="C26" s="5" t="n">
        <v>109</v>
      </c>
      <c r="D26" s="5" t="n">
        <v>565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2141</v>
      </c>
      <c r="C27" s="5" t="n">
        <v>104</v>
      </c>
      <c r="D27" s="5" t="n">
        <v>5710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2142</v>
      </c>
      <c r="C28" s="5" t="n">
        <v>103</v>
      </c>
      <c r="D28" s="5" t="n">
        <v>766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2143</v>
      </c>
      <c r="C29" s="5" t="n">
        <v>100</v>
      </c>
      <c r="D29" s="5" t="n">
        <v>6964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2144</v>
      </c>
      <c r="C30" s="5" t="n">
        <v>97</v>
      </c>
      <c r="D30" s="5" t="n">
        <v>598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2145</v>
      </c>
      <c r="C31" s="5" t="n">
        <v>59</v>
      </c>
      <c r="D31" s="5" t="n">
        <v>1203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2146</v>
      </c>
      <c r="C32" s="5" t="n">
        <v>57</v>
      </c>
      <c r="D32" s="5" t="n">
        <v>139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2147</v>
      </c>
      <c r="C33" s="5" t="n">
        <v>54</v>
      </c>
      <c r="D33" s="5" t="n">
        <v>374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2148</v>
      </c>
      <c r="C34" s="5" t="n">
        <v>53</v>
      </c>
      <c r="D34" s="5" t="n">
        <v>776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2149</v>
      </c>
      <c r="C35" s="5" t="n">
        <v>50</v>
      </c>
      <c r="D35" s="5" t="n">
        <v>169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2150</v>
      </c>
      <c r="C36" s="5" t="n">
        <v>35</v>
      </c>
      <c r="D36" s="5" t="n">
        <v>909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2151</v>
      </c>
      <c r="C37" s="5" t="n">
        <v>35</v>
      </c>
      <c r="D37" s="5" t="n">
        <v>111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2152</v>
      </c>
      <c r="C38" s="5" t="n">
        <v>35</v>
      </c>
      <c r="D38" s="5" t="n">
        <v>94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2153</v>
      </c>
      <c r="C39" s="5" t="n">
        <v>34</v>
      </c>
      <c r="D39" s="5" t="n">
        <v>236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2154</v>
      </c>
      <c r="C40" s="5" t="n">
        <v>34</v>
      </c>
      <c r="D40" s="5" t="n">
        <v>170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2155</v>
      </c>
      <c r="C41" s="5" t="n">
        <v>33</v>
      </c>
      <c r="D41" s="5" t="n">
        <v>386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2156</v>
      </c>
      <c r="C42" s="5" t="n">
        <v>32</v>
      </c>
      <c r="D42" s="5" t="n">
        <v>2578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2157</v>
      </c>
      <c r="C43" s="5" t="n">
        <v>29</v>
      </c>
      <c r="D43" s="5" t="n">
        <v>732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2158</v>
      </c>
      <c r="C44" s="5" t="n">
        <v>29</v>
      </c>
      <c r="D44" s="5" t="n">
        <v>122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2159</v>
      </c>
      <c r="C45" s="5" t="n">
        <v>27</v>
      </c>
      <c r="D45" s="5" t="n">
        <v>333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2160</v>
      </c>
      <c r="C46" s="5" t="n">
        <v>23</v>
      </c>
      <c r="D46" s="5" t="n">
        <v>0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2161</v>
      </c>
      <c r="C47" s="5" t="n">
        <v>21</v>
      </c>
      <c r="D47" s="5" t="n">
        <v>54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2162</v>
      </c>
      <c r="C48" s="5" t="n">
        <v>14</v>
      </c>
      <c r="D48" s="5" t="n">
        <v>366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2163</v>
      </c>
      <c r="C49" s="5" t="n">
        <v>13</v>
      </c>
      <c r="D49" s="5" t="n">
        <v>331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2164</v>
      </c>
      <c r="C50" s="5" t="n">
        <v>514</v>
      </c>
      <c r="D50" s="5" t="n">
        <v>187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2165</v>
      </c>
      <c r="C51" s="5" t="n">
        <v>260</v>
      </c>
      <c r="D51" s="5" t="n">
        <v>285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2166</v>
      </c>
      <c r="C52" s="5" t="n">
        <v>141</v>
      </c>
      <c r="D52" s="5" t="n">
        <v>488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2167</v>
      </c>
      <c r="C53" s="5" t="n">
        <v>123</v>
      </c>
      <c r="D53" s="5" t="n">
        <v>790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2168</v>
      </c>
      <c r="C54" s="5" t="n">
        <v>117</v>
      </c>
      <c r="D54" s="5" t="n">
        <v>20512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2169</v>
      </c>
      <c r="C55" s="5" t="n">
        <v>116</v>
      </c>
      <c r="D55" s="5" t="n">
        <v>21347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2170</v>
      </c>
      <c r="C56" s="5" t="n">
        <v>83</v>
      </c>
      <c r="D56" s="5" t="n">
        <v>328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2171</v>
      </c>
      <c r="C57" s="5" t="n">
        <v>82</v>
      </c>
      <c r="D57" s="5" t="n">
        <v>453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2172</v>
      </c>
      <c r="C58" s="5" t="n">
        <v>65</v>
      </c>
      <c r="D58" s="5" t="n">
        <v>3112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2173</v>
      </c>
      <c r="C59" s="5" t="n">
        <v>56</v>
      </c>
      <c r="D59" s="5" t="n">
        <v>549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2174</v>
      </c>
      <c r="C60" s="5" t="n">
        <v>54</v>
      </c>
      <c r="D60" s="5" t="n">
        <v>149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2175</v>
      </c>
      <c r="C61" s="5" t="n">
        <v>51</v>
      </c>
      <c r="D61" s="5" t="n">
        <v>421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2176</v>
      </c>
      <c r="C62" s="5" t="n">
        <v>49</v>
      </c>
      <c r="D62" s="5" t="n">
        <v>2503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2177</v>
      </c>
      <c r="C63" s="5" t="n">
        <v>49</v>
      </c>
      <c r="D63" s="5" t="n">
        <v>99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2178</v>
      </c>
      <c r="C64" s="5" t="n">
        <v>48</v>
      </c>
      <c r="D64" s="5" t="n">
        <v>1052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2179</v>
      </c>
      <c r="C65" s="5" t="n">
        <v>46</v>
      </c>
      <c r="D65" s="5" t="n">
        <v>1730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2180</v>
      </c>
      <c r="C66" s="5" t="n">
        <v>45</v>
      </c>
      <c r="D66" s="5" t="n">
        <v>585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2181</v>
      </c>
      <c r="C67" s="5" t="n">
        <v>44</v>
      </c>
      <c r="D67" s="5" t="n">
        <v>161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2182</v>
      </c>
      <c r="C68" s="5" t="n">
        <v>42</v>
      </c>
      <c r="D68" s="5" t="n">
        <v>0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2183</v>
      </c>
      <c r="C69" s="5" t="n">
        <v>41</v>
      </c>
      <c r="D69" s="5" t="n">
        <v>256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2184</v>
      </c>
      <c r="C70" s="5" t="n">
        <v>36</v>
      </c>
      <c r="D70" s="5" t="n">
        <v>299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2185</v>
      </c>
      <c r="C71" s="5" t="n">
        <v>35</v>
      </c>
      <c r="D71" s="5" t="n">
        <v>4180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2186</v>
      </c>
      <c r="C72" s="5" t="n">
        <v>35</v>
      </c>
      <c r="D72" s="5" t="n">
        <v>449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2187</v>
      </c>
      <c r="C73" s="5" t="n">
        <v>35</v>
      </c>
      <c r="D73" s="5" t="n">
        <v>162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2188</v>
      </c>
      <c r="C74" s="5" t="n">
        <v>35</v>
      </c>
      <c r="D74" s="5" t="n">
        <v>161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2189</v>
      </c>
      <c r="C75" s="5" t="n">
        <v>34</v>
      </c>
      <c r="D75" s="5" t="n">
        <v>438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2190</v>
      </c>
      <c r="C76" s="5" t="n">
        <v>32</v>
      </c>
      <c r="D76" s="5" t="n">
        <v>178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2191</v>
      </c>
      <c r="C77" s="5" t="n">
        <v>31</v>
      </c>
      <c r="D77" s="5" t="n">
        <v>258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2192</v>
      </c>
      <c r="C78" s="5" t="n">
        <v>31</v>
      </c>
      <c r="D78" s="5" t="n">
        <v>223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2193</v>
      </c>
      <c r="C79" s="5" t="n">
        <v>31</v>
      </c>
      <c r="D79" s="5" t="n">
        <v>143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2194</v>
      </c>
      <c r="C80" s="5" t="n">
        <v>29</v>
      </c>
      <c r="D80" s="5" t="n">
        <v>160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2195</v>
      </c>
      <c r="C81" s="5" t="n">
        <v>28</v>
      </c>
      <c r="D81" s="5" t="n">
        <v>3033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2196</v>
      </c>
      <c r="C82" s="5" t="n">
        <v>27</v>
      </c>
      <c r="D82" s="5" t="n">
        <v>6036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2197</v>
      </c>
      <c r="C83" s="5" t="n">
        <v>26</v>
      </c>
      <c r="D83" s="5" t="n">
        <v>152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2198</v>
      </c>
      <c r="C84" s="5" t="n">
        <v>26</v>
      </c>
      <c r="D84" s="5" t="n">
        <v>24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2199</v>
      </c>
      <c r="C85" s="5" t="n">
        <v>25</v>
      </c>
      <c r="D85" s="5" t="n">
        <v>1028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2200</v>
      </c>
      <c r="C86" s="5" t="n">
        <v>25</v>
      </c>
      <c r="D86" s="5" t="n">
        <v>645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2201</v>
      </c>
      <c r="C87" s="5" t="n">
        <v>25</v>
      </c>
      <c r="D87" s="5" t="n">
        <v>92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2202</v>
      </c>
      <c r="C88" s="5" t="n">
        <v>24</v>
      </c>
      <c r="D88" s="5" t="n">
        <v>157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2203</v>
      </c>
      <c r="C89" s="5" t="n">
        <v>24</v>
      </c>
      <c r="D89" s="5" t="n">
        <v>93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2204</v>
      </c>
      <c r="C90" s="5" t="n">
        <v>24</v>
      </c>
      <c r="D90" s="5" t="n">
        <v>58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2205</v>
      </c>
      <c r="C91" s="5" t="n">
        <v>24</v>
      </c>
      <c r="D91" s="5" t="n">
        <v>39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2206</v>
      </c>
      <c r="C92" s="5" t="n">
        <v>23</v>
      </c>
      <c r="D92" s="5" t="n">
        <v>154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2207</v>
      </c>
      <c r="C93" s="5" t="n">
        <v>23</v>
      </c>
      <c r="D93" s="5" t="n">
        <v>87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2208</v>
      </c>
      <c r="C94" s="5" t="n">
        <v>22</v>
      </c>
      <c r="D94" s="5" t="n">
        <v>47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2209</v>
      </c>
      <c r="C95" s="5" t="n">
        <v>20</v>
      </c>
      <c r="D95" s="5" t="n">
        <v>4266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2210</v>
      </c>
      <c r="C96" s="5" t="n">
        <v>20</v>
      </c>
      <c r="D96" s="5" t="n">
        <v>139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2211</v>
      </c>
      <c r="C97" s="5" t="n">
        <v>20</v>
      </c>
      <c r="D97" s="5" t="n">
        <v>104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2212</v>
      </c>
      <c r="C98" s="5" t="n">
        <v>19</v>
      </c>
      <c r="D98" s="5" t="n">
        <v>99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2213</v>
      </c>
      <c r="C99" s="5" t="n">
        <v>18</v>
      </c>
      <c r="D99" s="5" t="n">
        <v>2481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2214</v>
      </c>
      <c r="C100" s="5" t="n">
        <v>18</v>
      </c>
      <c r="D100" s="5" t="n">
        <v>2242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2215</v>
      </c>
      <c r="C101" s="5" t="n">
        <v>18</v>
      </c>
      <c r="D101" s="5" t="n">
        <v>479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2216</v>
      </c>
      <c r="C102" s="5" t="n">
        <v>18</v>
      </c>
      <c r="D102" s="5" t="n">
        <v>41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2217</v>
      </c>
      <c r="C103" s="5" t="n">
        <v>18</v>
      </c>
      <c r="D103" s="5" t="n">
        <v>26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2218</v>
      </c>
      <c r="C104" s="5" t="n">
        <v>18</v>
      </c>
      <c r="D104" s="5" t="n">
        <v>23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2219</v>
      </c>
      <c r="C105" s="5" t="n">
        <v>18</v>
      </c>
      <c r="D105" s="5" t="n">
        <v>0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2220</v>
      </c>
      <c r="C106" s="5" t="n">
        <v>16</v>
      </c>
      <c r="D106" s="5" t="n">
        <v>1136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2221</v>
      </c>
      <c r="C107" s="5" t="n">
        <v>16</v>
      </c>
      <c r="D107" s="5" t="n">
        <v>498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2222</v>
      </c>
      <c r="C108" s="5" t="n">
        <v>16</v>
      </c>
      <c r="D108" s="5" t="n">
        <v>247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2223</v>
      </c>
      <c r="C109" s="5" t="n">
        <v>16</v>
      </c>
      <c r="D109" s="5" t="n">
        <v>119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2224</v>
      </c>
      <c r="C110" s="5" t="n">
        <v>16</v>
      </c>
      <c r="D110" s="5" t="n">
        <v>70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2225</v>
      </c>
      <c r="C111" s="5" t="n">
        <v>16</v>
      </c>
      <c r="D111" s="5" t="n">
        <v>61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2226</v>
      </c>
      <c r="C112" s="5" t="n">
        <v>16</v>
      </c>
      <c r="D112" s="5" t="n">
        <v>60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2227</v>
      </c>
      <c r="C113" s="5" t="n">
        <v>16</v>
      </c>
      <c r="D113" s="5" t="n">
        <v>10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2228</v>
      </c>
      <c r="C114" s="5" t="n">
        <v>15</v>
      </c>
      <c r="D114" s="5" t="n">
        <v>1137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2229</v>
      </c>
      <c r="C115" s="5" t="n">
        <v>15</v>
      </c>
      <c r="D115" s="5" t="n">
        <v>645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2230</v>
      </c>
      <c r="C116" s="5" t="n">
        <v>15</v>
      </c>
      <c r="D116" s="5" t="n">
        <v>218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2231</v>
      </c>
      <c r="C117" s="5" t="n">
        <v>15</v>
      </c>
      <c r="D117" s="5" t="n">
        <v>25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2232</v>
      </c>
      <c r="C118" s="5" t="n">
        <v>15</v>
      </c>
      <c r="D118" s="5" t="n">
        <v>0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2233</v>
      </c>
      <c r="C119" s="5" t="n">
        <v>14</v>
      </c>
      <c r="D119" s="5" t="n">
        <v>100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2234</v>
      </c>
      <c r="C120" s="5" t="n">
        <v>14</v>
      </c>
      <c r="D120" s="5" t="n">
        <v>82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2235</v>
      </c>
      <c r="C121" s="5" t="n">
        <v>14</v>
      </c>
      <c r="D121" s="5" t="n">
        <v>26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2236</v>
      </c>
      <c r="C122" s="5" t="n">
        <v>14</v>
      </c>
      <c r="D122" s="5" t="n">
        <v>19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2237</v>
      </c>
      <c r="C123" s="5" t="n">
        <v>14</v>
      </c>
      <c r="D123" s="5" t="n">
        <v>0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2238</v>
      </c>
      <c r="C124" s="5" t="n">
        <v>14</v>
      </c>
      <c r="D124" s="5" t="n">
        <v>0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2239</v>
      </c>
      <c r="C125" s="5" t="n">
        <v>13</v>
      </c>
      <c r="D125" s="5" t="n">
        <v>411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2240</v>
      </c>
      <c r="C126" s="5" t="n">
        <v>13</v>
      </c>
      <c r="D126" s="5" t="n">
        <v>373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2241</v>
      </c>
      <c r="C127" s="5" t="n">
        <v>13</v>
      </c>
      <c r="D127" s="5" t="n">
        <v>306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2242</v>
      </c>
      <c r="C128" s="5" t="n">
        <v>13</v>
      </c>
      <c r="D128" s="5" t="n">
        <v>236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2243</v>
      </c>
      <c r="C129" s="5" t="n">
        <v>13</v>
      </c>
      <c r="D129" s="5" t="n">
        <v>169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2244</v>
      </c>
      <c r="C130" s="5" t="n">
        <v>13</v>
      </c>
      <c r="D130" s="5" t="n">
        <v>31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2245</v>
      </c>
      <c r="C131" s="5" t="n">
        <v>13</v>
      </c>
      <c r="D131" s="5" t="n">
        <v>23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2246</v>
      </c>
      <c r="C132" s="5" t="n">
        <v>13</v>
      </c>
      <c r="D132" s="5" t="n">
        <v>0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2247</v>
      </c>
      <c r="C133" s="5" t="n">
        <v>12</v>
      </c>
      <c r="D133" s="5" t="n">
        <v>5761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2248</v>
      </c>
      <c r="C134" s="5" t="n">
        <v>12</v>
      </c>
      <c r="D134" s="5" t="n">
        <v>271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2249</v>
      </c>
      <c r="C135" s="5" t="n">
        <v>12</v>
      </c>
      <c r="D135" s="5" t="n">
        <v>225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2250</v>
      </c>
      <c r="C136" s="5" t="n">
        <v>12</v>
      </c>
      <c r="D136" s="5" t="n">
        <v>88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2251</v>
      </c>
      <c r="C137" s="5" t="n">
        <v>12</v>
      </c>
      <c r="D137" s="5" t="n">
        <v>82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2252</v>
      </c>
      <c r="C138" s="5" t="n">
        <v>12</v>
      </c>
      <c r="D138" s="5" t="n">
        <v>67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2253</v>
      </c>
      <c r="C139" s="5" t="n">
        <v>12</v>
      </c>
      <c r="D139" s="5" t="n">
        <v>58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5" t="s">
        <v>2254</v>
      </c>
      <c r="C140" s="5" t="n">
        <v>12</v>
      </c>
      <c r="D140" s="5" t="n">
        <v>26</v>
      </c>
      <c r="E140" s="6" t="s">
        <v>21</v>
      </c>
      <c r="F140" s="5"/>
    </row>
    <row r="141" customFormat="false" ht="15" hidden="false" customHeight="false" outlineLevel="0" collapsed="false">
      <c r="A141" s="5" t="n">
        <v>138</v>
      </c>
      <c r="B141" s="5" t="s">
        <v>2255</v>
      </c>
      <c r="C141" s="5" t="n">
        <v>12</v>
      </c>
      <c r="D141" s="5" t="n">
        <v>0</v>
      </c>
      <c r="E141" s="6" t="s">
        <v>21</v>
      </c>
      <c r="F141" s="5"/>
    </row>
    <row r="142" customFormat="false" ht="15" hidden="false" customHeight="false" outlineLevel="0" collapsed="false">
      <c r="A142" s="5" t="n">
        <v>139</v>
      </c>
      <c r="B142" s="5" t="s">
        <v>2256</v>
      </c>
      <c r="C142" s="5" t="n">
        <v>11</v>
      </c>
      <c r="D142" s="5" t="n">
        <v>2500</v>
      </c>
      <c r="E142" s="6" t="s">
        <v>21</v>
      </c>
      <c r="F142" s="5"/>
    </row>
    <row r="143" customFormat="false" ht="15" hidden="false" customHeight="false" outlineLevel="0" collapsed="false">
      <c r="A143" s="5" t="n">
        <v>140</v>
      </c>
      <c r="B143" s="5" t="s">
        <v>2257</v>
      </c>
      <c r="C143" s="5" t="n">
        <v>11</v>
      </c>
      <c r="D143" s="5" t="n">
        <v>1280</v>
      </c>
      <c r="E143" s="6" t="s">
        <v>21</v>
      </c>
      <c r="F143" s="5"/>
    </row>
    <row r="144" customFormat="false" ht="15" hidden="false" customHeight="false" outlineLevel="0" collapsed="false">
      <c r="A144" s="5" t="n">
        <v>141</v>
      </c>
      <c r="B144" s="5" t="s">
        <v>2258</v>
      </c>
      <c r="C144" s="5" t="n">
        <v>11</v>
      </c>
      <c r="D144" s="5" t="n">
        <v>161</v>
      </c>
      <c r="E144" s="6" t="s">
        <v>21</v>
      </c>
      <c r="F144" s="5"/>
    </row>
    <row r="145" customFormat="false" ht="15" hidden="false" customHeight="false" outlineLevel="0" collapsed="false">
      <c r="A145" s="5" t="n">
        <v>142</v>
      </c>
      <c r="B145" s="5" t="s">
        <v>2259</v>
      </c>
      <c r="C145" s="5" t="n">
        <v>11</v>
      </c>
      <c r="D145" s="5" t="n">
        <v>85</v>
      </c>
      <c r="E145" s="6" t="s">
        <v>21</v>
      </c>
      <c r="F145" s="5"/>
    </row>
    <row r="146" customFormat="false" ht="15" hidden="false" customHeight="false" outlineLevel="0" collapsed="false">
      <c r="A146" s="5" t="n">
        <v>143</v>
      </c>
      <c r="B146" s="5" t="s">
        <v>2260</v>
      </c>
      <c r="C146" s="5" t="n">
        <v>11</v>
      </c>
      <c r="D146" s="5" t="n">
        <v>2</v>
      </c>
      <c r="E146" s="6" t="s">
        <v>21</v>
      </c>
      <c r="F146" s="5"/>
    </row>
    <row r="147" customFormat="false" ht="15" hidden="false" customHeight="false" outlineLevel="0" collapsed="false">
      <c r="A147" s="5" t="n">
        <v>144</v>
      </c>
      <c r="B147" s="5" t="s">
        <v>2261</v>
      </c>
      <c r="C147" s="5" t="n">
        <v>11</v>
      </c>
      <c r="D147" s="5" t="n">
        <v>1</v>
      </c>
      <c r="E147" s="6" t="s">
        <v>21</v>
      </c>
      <c r="F147" s="5"/>
    </row>
    <row r="148" customFormat="false" ht="15" hidden="false" customHeight="false" outlineLevel="0" collapsed="false">
      <c r="A148" s="5" t="n">
        <v>145</v>
      </c>
      <c r="B148" s="5" t="s">
        <v>2262</v>
      </c>
      <c r="C148" s="5" t="n">
        <v>10</v>
      </c>
      <c r="D148" s="5" t="n">
        <v>135</v>
      </c>
      <c r="E148" s="6" t="s">
        <v>21</v>
      </c>
      <c r="F148" s="5"/>
    </row>
    <row r="149" customFormat="false" ht="15" hidden="false" customHeight="false" outlineLevel="0" collapsed="false">
      <c r="A149" s="5" t="n">
        <v>146</v>
      </c>
      <c r="B149" s="5" t="s">
        <v>2263</v>
      </c>
      <c r="C149" s="5" t="n">
        <v>10</v>
      </c>
      <c r="D149" s="5" t="n">
        <v>117</v>
      </c>
      <c r="E149" s="6" t="s">
        <v>21</v>
      </c>
      <c r="F149" s="5"/>
    </row>
    <row r="150" customFormat="false" ht="15" hidden="false" customHeight="false" outlineLevel="0" collapsed="false">
      <c r="A150" s="5" t="n">
        <v>147</v>
      </c>
      <c r="B150" s="5" t="s">
        <v>2264</v>
      </c>
      <c r="C150" s="5" t="n">
        <v>10</v>
      </c>
      <c r="D150" s="5" t="n">
        <v>95</v>
      </c>
      <c r="E150" s="6" t="s">
        <v>21</v>
      </c>
      <c r="F150" s="5"/>
    </row>
    <row r="151" customFormat="false" ht="15" hidden="false" customHeight="false" outlineLevel="0" collapsed="false">
      <c r="A151" s="5" t="n">
        <v>148</v>
      </c>
      <c r="B151" s="5" t="s">
        <v>2265</v>
      </c>
      <c r="C151" s="5" t="n">
        <v>10</v>
      </c>
      <c r="D151" s="5" t="n">
        <v>50</v>
      </c>
      <c r="E151" s="6" t="s">
        <v>21</v>
      </c>
      <c r="F151" s="5"/>
    </row>
    <row r="152" customFormat="false" ht="15" hidden="false" customHeight="false" outlineLevel="0" collapsed="false">
      <c r="A152" s="5" t="n">
        <v>149</v>
      </c>
      <c r="B152" s="5" t="s">
        <v>2266</v>
      </c>
      <c r="C152" s="5" t="n">
        <v>10</v>
      </c>
      <c r="D152" s="5" t="n">
        <v>9</v>
      </c>
      <c r="E152" s="6" t="s">
        <v>21</v>
      </c>
      <c r="F152" s="5"/>
    </row>
    <row r="153" customFormat="false" ht="15" hidden="false" customHeight="false" outlineLevel="0" collapsed="false">
      <c r="A153" s="5" t="n">
        <v>150</v>
      </c>
      <c r="B153" s="5" t="s">
        <v>2267</v>
      </c>
      <c r="C153" s="5" t="n">
        <v>10</v>
      </c>
      <c r="D153" s="5" t="n">
        <v>6</v>
      </c>
      <c r="E153" s="6" t="s">
        <v>21</v>
      </c>
      <c r="F153" s="5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  <row r="160" customFormat="false" ht="15" hidden="false" customHeight="false" outlineLevel="0" collapsed="false">
      <c r="A160" s="5" t="n">
        <v>157</v>
      </c>
      <c r="B160" s="7"/>
      <c r="C160" s="7"/>
      <c r="D160" s="7"/>
      <c r="E160" s="8"/>
      <c r="F160" s="7"/>
    </row>
    <row r="161" customFormat="false" ht="15" hidden="false" customHeight="false" outlineLevel="0" collapsed="false">
      <c r="A161" s="5" t="n">
        <v>158</v>
      </c>
      <c r="B161" s="7"/>
      <c r="C161" s="7"/>
      <c r="D161" s="7"/>
      <c r="E161" s="8"/>
      <c r="F161" s="7"/>
    </row>
    <row r="162" customFormat="false" ht="15" hidden="false" customHeight="false" outlineLevel="0" collapsed="false">
      <c r="A162" s="5" t="n">
        <v>159</v>
      </c>
      <c r="B162" s="7"/>
      <c r="C162" s="7"/>
      <c r="D162" s="7"/>
      <c r="E162" s="8"/>
      <c r="F162" s="7"/>
    </row>
    <row r="163" customFormat="false" ht="15" hidden="false" customHeight="false" outlineLevel="0" collapsed="false">
      <c r="A163" s="5" t="n">
        <v>160</v>
      </c>
      <c r="B163" s="7"/>
      <c r="C163" s="7"/>
      <c r="D163" s="7"/>
      <c r="E163" s="8"/>
      <c r="F163" s="7"/>
    </row>
    <row r="164" customFormat="false" ht="15" hidden="false" customHeight="false" outlineLevel="0" collapsed="false">
      <c r="A164" s="5" t="n">
        <v>161</v>
      </c>
      <c r="B164" s="7"/>
      <c r="C164" s="7"/>
      <c r="D164" s="7"/>
      <c r="E164" s="8"/>
      <c r="F164" s="7"/>
    </row>
    <row r="165" customFormat="false" ht="15" hidden="false" customHeight="false" outlineLevel="0" collapsed="false">
      <c r="A165" s="5" t="n">
        <v>162</v>
      </c>
      <c r="B165" s="7"/>
      <c r="C165" s="7"/>
      <c r="D165" s="7"/>
      <c r="E165" s="8"/>
      <c r="F165" s="7"/>
    </row>
    <row r="166" customFormat="false" ht="15" hidden="false" customHeight="false" outlineLevel="0" collapsed="false">
      <c r="A166" s="5" t="n">
        <v>163</v>
      </c>
      <c r="B166" s="7"/>
      <c r="C166" s="7"/>
      <c r="D166" s="7"/>
      <c r="E166" s="8"/>
      <c r="F166" s="7"/>
    </row>
    <row r="167" customFormat="false" ht="15" hidden="false" customHeight="false" outlineLevel="0" collapsed="false">
      <c r="A167" s="5" t="n">
        <v>164</v>
      </c>
      <c r="B167" s="7"/>
      <c r="C167" s="7"/>
      <c r="D167" s="7"/>
      <c r="E167" s="8"/>
      <c r="F167" s="7"/>
    </row>
    <row r="168" customFormat="false" ht="15" hidden="false" customHeight="false" outlineLevel="0" collapsed="false">
      <c r="A168" s="5" t="n">
        <v>165</v>
      </c>
      <c r="B168" s="7"/>
      <c r="C168" s="7"/>
      <c r="D168" s="7"/>
      <c r="E168" s="8"/>
      <c r="F168" s="7"/>
    </row>
    <row r="169" customFormat="false" ht="15" hidden="false" customHeight="false" outlineLevel="0" collapsed="false">
      <c r="A169" s="5" t="n">
        <v>166</v>
      </c>
      <c r="B169" s="7"/>
      <c r="C169" s="7"/>
      <c r="D169" s="7"/>
      <c r="E169" s="8"/>
      <c r="F169" s="7"/>
    </row>
    <row r="170" customFormat="false" ht="15" hidden="false" customHeight="false" outlineLevel="0" collapsed="false">
      <c r="A170" s="5" t="n">
        <v>167</v>
      </c>
      <c r="B170" s="7"/>
      <c r="C170" s="7"/>
      <c r="D170" s="7"/>
      <c r="E170" s="8"/>
      <c r="F170" s="7"/>
    </row>
    <row r="171" customFormat="false" ht="15" hidden="false" customHeight="false" outlineLevel="0" collapsed="false">
      <c r="A171" s="5" t="n">
        <v>168</v>
      </c>
      <c r="B171" s="7"/>
      <c r="C171" s="7"/>
      <c r="D171" s="7"/>
      <c r="E171" s="8"/>
      <c r="F171" s="7"/>
    </row>
    <row r="172" customFormat="false" ht="15" hidden="false" customHeight="false" outlineLevel="0" collapsed="false">
      <c r="A172" s="5" t="n">
        <v>169</v>
      </c>
      <c r="B172" s="7"/>
      <c r="C172" s="7"/>
      <c r="D172" s="7"/>
      <c r="E172" s="8"/>
      <c r="F172" s="7"/>
    </row>
    <row r="173" customFormat="false" ht="15" hidden="false" customHeight="false" outlineLevel="0" collapsed="false">
      <c r="A173" s="5" t="n">
        <v>170</v>
      </c>
      <c r="B173" s="7"/>
      <c r="C173" s="7"/>
      <c r="D173" s="7"/>
      <c r="E173" s="8"/>
      <c r="F173" s="7"/>
    </row>
  </sheetData>
  <conditionalFormatting sqref="A4:F173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73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6"/>
  </cols>
  <sheetData>
    <row r="1" customFormat="false" ht="17.9" hidden="false" customHeight="false" outlineLevel="0" collapsed="false">
      <c r="A1" s="1" t="s">
        <v>2268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Format="false" ht="15" hidden="false" customHeight="false" outlineLevel="0" collapsed="false">
      <c r="A4" s="5" t="n">
        <v>1</v>
      </c>
      <c r="B4" s="5" t="s">
        <v>2269</v>
      </c>
      <c r="C4" s="5" t="n">
        <v>627</v>
      </c>
      <c r="D4" s="5" t="n">
        <v>134</v>
      </c>
      <c r="E4" s="6" t="s">
        <v>21</v>
      </c>
      <c r="F4" s="5"/>
    </row>
    <row r="5" customFormat="false" ht="15" hidden="false" customHeight="false" outlineLevel="0" collapsed="false">
      <c r="A5" s="5" t="n">
        <v>2</v>
      </c>
      <c r="B5" s="5" t="s">
        <v>2270</v>
      </c>
      <c r="C5" s="5" t="n">
        <v>516</v>
      </c>
      <c r="D5" s="5" t="n">
        <v>9048</v>
      </c>
      <c r="E5" s="6" t="s">
        <v>21</v>
      </c>
      <c r="F5" s="5"/>
    </row>
    <row r="6" customFormat="false" ht="15" hidden="false" customHeight="false" outlineLevel="0" collapsed="false">
      <c r="A6" s="5" t="n">
        <v>3</v>
      </c>
      <c r="B6" s="5" t="s">
        <v>2271</v>
      </c>
      <c r="C6" s="5" t="n">
        <v>480</v>
      </c>
      <c r="D6" s="5" t="n">
        <v>2560</v>
      </c>
      <c r="E6" s="6" t="s">
        <v>21</v>
      </c>
      <c r="F6" s="5"/>
    </row>
    <row r="7" customFormat="false" ht="15" hidden="false" customHeight="false" outlineLevel="0" collapsed="false">
      <c r="A7" s="5" t="n">
        <v>4</v>
      </c>
      <c r="B7" s="5" t="s">
        <v>2272</v>
      </c>
      <c r="C7" s="5" t="n">
        <v>390</v>
      </c>
      <c r="D7" s="5" t="n">
        <v>2226</v>
      </c>
      <c r="E7" s="6" t="s">
        <v>21</v>
      </c>
      <c r="F7" s="5"/>
    </row>
    <row r="8" customFormat="false" ht="15" hidden="false" customHeight="false" outlineLevel="0" collapsed="false">
      <c r="A8" s="5" t="n">
        <v>5</v>
      </c>
      <c r="B8" s="5" t="s">
        <v>2273</v>
      </c>
      <c r="C8" s="5" t="n">
        <v>315</v>
      </c>
      <c r="D8" s="5" t="n">
        <v>25724</v>
      </c>
      <c r="E8" s="6" t="s">
        <v>21</v>
      </c>
      <c r="F8" s="5"/>
    </row>
    <row r="9" customFormat="false" ht="15" hidden="false" customHeight="false" outlineLevel="0" collapsed="false">
      <c r="A9" s="5" t="n">
        <v>6</v>
      </c>
      <c r="B9" s="5" t="s">
        <v>2274</v>
      </c>
      <c r="C9" s="5" t="n">
        <v>286</v>
      </c>
      <c r="D9" s="5" t="n">
        <v>1197</v>
      </c>
      <c r="E9" s="6" t="s">
        <v>21</v>
      </c>
      <c r="F9" s="5"/>
    </row>
    <row r="10" customFormat="false" ht="15" hidden="false" customHeight="false" outlineLevel="0" collapsed="false">
      <c r="A10" s="5" t="n">
        <v>7</v>
      </c>
      <c r="B10" s="5" t="s">
        <v>2275</v>
      </c>
      <c r="C10" s="5" t="n">
        <v>282</v>
      </c>
      <c r="D10" s="5" t="n">
        <v>0</v>
      </c>
      <c r="E10" s="6" t="s">
        <v>21</v>
      </c>
      <c r="F10" s="5"/>
    </row>
    <row r="11" customFormat="false" ht="15" hidden="false" customHeight="false" outlineLevel="0" collapsed="false">
      <c r="A11" s="5" t="n">
        <v>8</v>
      </c>
      <c r="B11" s="5" t="s">
        <v>2276</v>
      </c>
      <c r="C11" s="5" t="n">
        <v>259</v>
      </c>
      <c r="D11" s="5" t="n">
        <v>4133</v>
      </c>
      <c r="E11" s="6" t="s">
        <v>21</v>
      </c>
      <c r="F11" s="5"/>
    </row>
    <row r="12" customFormat="false" ht="15" hidden="false" customHeight="false" outlineLevel="0" collapsed="false">
      <c r="A12" s="5" t="n">
        <v>9</v>
      </c>
      <c r="B12" s="5" t="s">
        <v>2277</v>
      </c>
      <c r="C12" s="5" t="n">
        <v>257</v>
      </c>
      <c r="D12" s="5" t="n">
        <v>2190</v>
      </c>
      <c r="E12" s="6" t="s">
        <v>21</v>
      </c>
      <c r="F12" s="5"/>
    </row>
    <row r="13" customFormat="false" ht="15" hidden="false" customHeight="false" outlineLevel="0" collapsed="false">
      <c r="A13" s="5" t="n">
        <v>10</v>
      </c>
      <c r="B13" s="5" t="s">
        <v>2278</v>
      </c>
      <c r="C13" s="5" t="n">
        <v>224</v>
      </c>
      <c r="D13" s="5" t="n">
        <v>3437</v>
      </c>
      <c r="E13" s="6" t="s">
        <v>21</v>
      </c>
      <c r="F13" s="5"/>
    </row>
    <row r="14" customFormat="false" ht="15" hidden="false" customHeight="false" outlineLevel="0" collapsed="false">
      <c r="A14" s="5" t="n">
        <v>11</v>
      </c>
      <c r="B14" s="5" t="s">
        <v>2279</v>
      </c>
      <c r="C14" s="5" t="n">
        <v>217</v>
      </c>
      <c r="D14" s="5" t="n">
        <v>2600</v>
      </c>
      <c r="E14" s="6" t="s">
        <v>21</v>
      </c>
      <c r="F14" s="5"/>
    </row>
    <row r="15" customFormat="false" ht="15" hidden="false" customHeight="false" outlineLevel="0" collapsed="false">
      <c r="A15" s="5" t="n">
        <v>12</v>
      </c>
      <c r="B15" s="5" t="s">
        <v>2280</v>
      </c>
      <c r="C15" s="5" t="n">
        <v>183</v>
      </c>
      <c r="D15" s="5" t="n">
        <v>3091</v>
      </c>
      <c r="E15" s="6" t="s">
        <v>21</v>
      </c>
      <c r="F15" s="5"/>
    </row>
    <row r="16" customFormat="false" ht="15" hidden="false" customHeight="false" outlineLevel="0" collapsed="false">
      <c r="A16" s="5" t="n">
        <v>13</v>
      </c>
      <c r="B16" s="5" t="s">
        <v>2281</v>
      </c>
      <c r="C16" s="5" t="n">
        <v>171</v>
      </c>
      <c r="D16" s="5" t="n">
        <v>3323</v>
      </c>
      <c r="E16" s="6" t="s">
        <v>21</v>
      </c>
      <c r="F16" s="5"/>
    </row>
    <row r="17" customFormat="false" ht="15" hidden="false" customHeight="false" outlineLevel="0" collapsed="false">
      <c r="A17" s="5" t="n">
        <v>14</v>
      </c>
      <c r="B17" s="5" t="s">
        <v>2282</v>
      </c>
      <c r="C17" s="5" t="n">
        <v>157</v>
      </c>
      <c r="D17" s="5" t="n">
        <v>7846</v>
      </c>
      <c r="E17" s="6" t="s">
        <v>21</v>
      </c>
      <c r="F17" s="5"/>
    </row>
    <row r="18" customFormat="false" ht="15" hidden="false" customHeight="false" outlineLevel="0" collapsed="false">
      <c r="A18" s="5" t="n">
        <v>15</v>
      </c>
      <c r="B18" s="5" t="s">
        <v>2283</v>
      </c>
      <c r="C18" s="5" t="n">
        <v>125</v>
      </c>
      <c r="D18" s="5" t="n">
        <v>1505</v>
      </c>
      <c r="E18" s="6" t="s">
        <v>21</v>
      </c>
      <c r="F18" s="5"/>
    </row>
    <row r="19" customFormat="false" ht="15" hidden="false" customHeight="false" outlineLevel="0" collapsed="false">
      <c r="A19" s="5" t="n">
        <v>16</v>
      </c>
      <c r="B19" s="5" t="s">
        <v>2284</v>
      </c>
      <c r="C19" s="5" t="n">
        <v>110</v>
      </c>
      <c r="D19" s="5" t="n">
        <v>1028</v>
      </c>
      <c r="E19" s="6" t="s">
        <v>21</v>
      </c>
      <c r="F19" s="5"/>
    </row>
    <row r="20" customFormat="false" ht="15" hidden="false" customHeight="false" outlineLevel="0" collapsed="false">
      <c r="A20" s="5" t="n">
        <v>17</v>
      </c>
      <c r="B20" s="5" t="s">
        <v>2285</v>
      </c>
      <c r="C20" s="5" t="n">
        <v>76</v>
      </c>
      <c r="D20" s="5" t="n">
        <v>1236</v>
      </c>
      <c r="E20" s="6" t="s">
        <v>21</v>
      </c>
      <c r="F20" s="5"/>
    </row>
    <row r="21" customFormat="false" ht="15" hidden="false" customHeight="false" outlineLevel="0" collapsed="false">
      <c r="A21" s="5" t="n">
        <v>18</v>
      </c>
      <c r="B21" s="5" t="s">
        <v>2286</v>
      </c>
      <c r="C21" s="5" t="n">
        <v>62</v>
      </c>
      <c r="D21" s="5" t="n">
        <v>998</v>
      </c>
      <c r="E21" s="6" t="s">
        <v>21</v>
      </c>
      <c r="F21" s="5"/>
    </row>
    <row r="22" customFormat="false" ht="15" hidden="false" customHeight="false" outlineLevel="0" collapsed="false">
      <c r="A22" s="5" t="n">
        <v>19</v>
      </c>
      <c r="B22" s="5" t="s">
        <v>2287</v>
      </c>
      <c r="C22" s="5" t="n">
        <v>60</v>
      </c>
      <c r="D22" s="5" t="n">
        <v>436</v>
      </c>
      <c r="E22" s="6" t="s">
        <v>21</v>
      </c>
      <c r="F22" s="5"/>
    </row>
    <row r="23" customFormat="false" ht="15" hidden="false" customHeight="false" outlineLevel="0" collapsed="false">
      <c r="A23" s="5" t="n">
        <v>20</v>
      </c>
      <c r="B23" s="5" t="s">
        <v>2288</v>
      </c>
      <c r="C23" s="5" t="n">
        <v>57</v>
      </c>
      <c r="D23" s="5" t="n">
        <v>232</v>
      </c>
      <c r="E23" s="6" t="s">
        <v>21</v>
      </c>
      <c r="F23" s="5"/>
    </row>
    <row r="24" customFormat="false" ht="15" hidden="false" customHeight="false" outlineLevel="0" collapsed="false">
      <c r="A24" s="5" t="n">
        <v>21</v>
      </c>
      <c r="B24" s="5" t="s">
        <v>2289</v>
      </c>
      <c r="C24" s="5" t="n">
        <v>54</v>
      </c>
      <c r="D24" s="5" t="n">
        <v>7191</v>
      </c>
      <c r="E24" s="6" t="s">
        <v>21</v>
      </c>
      <c r="F24" s="5"/>
    </row>
    <row r="25" customFormat="false" ht="15" hidden="false" customHeight="false" outlineLevel="0" collapsed="false">
      <c r="A25" s="5" t="n">
        <v>22</v>
      </c>
      <c r="B25" s="5" t="s">
        <v>2290</v>
      </c>
      <c r="C25" s="5" t="n">
        <v>53</v>
      </c>
      <c r="D25" s="5" t="n">
        <v>3884</v>
      </c>
      <c r="E25" s="6" t="s">
        <v>21</v>
      </c>
      <c r="F25" s="5"/>
    </row>
    <row r="26" customFormat="false" ht="15" hidden="false" customHeight="false" outlineLevel="0" collapsed="false">
      <c r="A26" s="5" t="n">
        <v>23</v>
      </c>
      <c r="B26" s="5" t="s">
        <v>2291</v>
      </c>
      <c r="C26" s="5" t="n">
        <v>51</v>
      </c>
      <c r="D26" s="5" t="n">
        <v>1561</v>
      </c>
      <c r="E26" s="6" t="s">
        <v>21</v>
      </c>
      <c r="F26" s="5"/>
    </row>
    <row r="27" customFormat="false" ht="15" hidden="false" customHeight="false" outlineLevel="0" collapsed="false">
      <c r="A27" s="5" t="n">
        <v>24</v>
      </c>
      <c r="B27" s="5" t="s">
        <v>2292</v>
      </c>
      <c r="C27" s="5" t="n">
        <v>47</v>
      </c>
      <c r="D27" s="5" t="n">
        <v>1710</v>
      </c>
      <c r="E27" s="6" t="s">
        <v>21</v>
      </c>
      <c r="F27" s="5"/>
    </row>
    <row r="28" customFormat="false" ht="15" hidden="false" customHeight="false" outlineLevel="0" collapsed="false">
      <c r="A28" s="5" t="n">
        <v>25</v>
      </c>
      <c r="B28" s="5" t="s">
        <v>2293</v>
      </c>
      <c r="C28" s="5" t="n">
        <v>45</v>
      </c>
      <c r="D28" s="5" t="n">
        <v>1093</v>
      </c>
      <c r="E28" s="6" t="s">
        <v>21</v>
      </c>
      <c r="F28" s="5"/>
    </row>
    <row r="29" customFormat="false" ht="15" hidden="false" customHeight="false" outlineLevel="0" collapsed="false">
      <c r="A29" s="5" t="n">
        <v>26</v>
      </c>
      <c r="B29" s="5" t="s">
        <v>2294</v>
      </c>
      <c r="C29" s="5" t="n">
        <v>44</v>
      </c>
      <c r="D29" s="5" t="n">
        <v>2009</v>
      </c>
      <c r="E29" s="6" t="s">
        <v>21</v>
      </c>
      <c r="F29" s="5"/>
    </row>
    <row r="30" customFormat="false" ht="15" hidden="false" customHeight="false" outlineLevel="0" collapsed="false">
      <c r="A30" s="5" t="n">
        <v>27</v>
      </c>
      <c r="B30" s="5" t="s">
        <v>2295</v>
      </c>
      <c r="C30" s="5" t="n">
        <v>44</v>
      </c>
      <c r="D30" s="5" t="n">
        <v>858</v>
      </c>
      <c r="E30" s="6" t="s">
        <v>21</v>
      </c>
      <c r="F30" s="5"/>
    </row>
    <row r="31" customFormat="false" ht="15" hidden="false" customHeight="false" outlineLevel="0" collapsed="false">
      <c r="A31" s="5" t="n">
        <v>28</v>
      </c>
      <c r="B31" s="5" t="s">
        <v>2296</v>
      </c>
      <c r="C31" s="5" t="n">
        <v>29</v>
      </c>
      <c r="D31" s="5" t="n">
        <v>191</v>
      </c>
      <c r="E31" s="6" t="s">
        <v>21</v>
      </c>
      <c r="F31" s="5"/>
    </row>
    <row r="32" customFormat="false" ht="15" hidden="false" customHeight="false" outlineLevel="0" collapsed="false">
      <c r="A32" s="5" t="n">
        <v>29</v>
      </c>
      <c r="B32" s="5" t="s">
        <v>2297</v>
      </c>
      <c r="C32" s="5" t="n">
        <v>21</v>
      </c>
      <c r="D32" s="5" t="n">
        <v>670</v>
      </c>
      <c r="E32" s="6" t="s">
        <v>21</v>
      </c>
      <c r="F32" s="5"/>
    </row>
    <row r="33" customFormat="false" ht="15" hidden="false" customHeight="false" outlineLevel="0" collapsed="false">
      <c r="A33" s="5" t="n">
        <v>30</v>
      </c>
      <c r="B33" s="5" t="s">
        <v>2298</v>
      </c>
      <c r="C33" s="5" t="n">
        <v>20</v>
      </c>
      <c r="D33" s="5" t="n">
        <v>1314</v>
      </c>
      <c r="E33" s="6" t="s">
        <v>21</v>
      </c>
      <c r="F33" s="5"/>
    </row>
    <row r="34" customFormat="false" ht="15" hidden="false" customHeight="false" outlineLevel="0" collapsed="false">
      <c r="A34" s="5" t="n">
        <v>31</v>
      </c>
      <c r="B34" s="5" t="s">
        <v>2299</v>
      </c>
      <c r="C34" s="5" t="n">
        <v>18</v>
      </c>
      <c r="D34" s="5" t="n">
        <v>78</v>
      </c>
      <c r="E34" s="6" t="s">
        <v>21</v>
      </c>
      <c r="F34" s="5"/>
    </row>
    <row r="35" customFormat="false" ht="15" hidden="false" customHeight="false" outlineLevel="0" collapsed="false">
      <c r="A35" s="5" t="n">
        <v>32</v>
      </c>
      <c r="B35" s="5" t="s">
        <v>2300</v>
      </c>
      <c r="C35" s="5" t="n">
        <v>16</v>
      </c>
      <c r="D35" s="5" t="n">
        <v>168</v>
      </c>
      <c r="E35" s="6" t="s">
        <v>21</v>
      </c>
      <c r="F35" s="5"/>
    </row>
    <row r="36" customFormat="false" ht="15" hidden="false" customHeight="false" outlineLevel="0" collapsed="false">
      <c r="A36" s="5" t="n">
        <v>33</v>
      </c>
      <c r="B36" s="5" t="s">
        <v>2301</v>
      </c>
      <c r="C36" s="5" t="n">
        <v>15</v>
      </c>
      <c r="D36" s="5" t="n">
        <v>237</v>
      </c>
      <c r="E36" s="6" t="s">
        <v>21</v>
      </c>
      <c r="F36" s="5"/>
    </row>
    <row r="37" customFormat="false" ht="15" hidden="false" customHeight="false" outlineLevel="0" collapsed="false">
      <c r="A37" s="5" t="n">
        <v>34</v>
      </c>
      <c r="B37" s="5" t="s">
        <v>2302</v>
      </c>
      <c r="C37" s="5" t="n">
        <v>11</v>
      </c>
      <c r="D37" s="5" t="n">
        <v>0</v>
      </c>
      <c r="E37" s="6" t="s">
        <v>21</v>
      </c>
      <c r="F37" s="5"/>
    </row>
    <row r="38" customFormat="false" ht="15" hidden="false" customHeight="false" outlineLevel="0" collapsed="false">
      <c r="A38" s="5" t="n">
        <v>35</v>
      </c>
      <c r="B38" s="5" t="s">
        <v>2303</v>
      </c>
      <c r="C38" s="5" t="n">
        <v>10</v>
      </c>
      <c r="D38" s="5" t="n">
        <v>136</v>
      </c>
      <c r="E38" s="6" t="s">
        <v>21</v>
      </c>
      <c r="F38" s="5"/>
    </row>
    <row r="39" customFormat="false" ht="15" hidden="false" customHeight="false" outlineLevel="0" collapsed="false">
      <c r="A39" s="5" t="n">
        <v>36</v>
      </c>
      <c r="B39" s="5" t="s">
        <v>2304</v>
      </c>
      <c r="C39" s="5" t="n">
        <v>10</v>
      </c>
      <c r="D39" s="5" t="n">
        <v>44</v>
      </c>
      <c r="E39" s="6" t="s">
        <v>21</v>
      </c>
      <c r="F39" s="5"/>
    </row>
    <row r="40" customFormat="false" ht="15" hidden="false" customHeight="false" outlineLevel="0" collapsed="false">
      <c r="A40" s="5" t="n">
        <v>37</v>
      </c>
      <c r="B40" s="5" t="s">
        <v>2305</v>
      </c>
      <c r="C40" s="5" t="n">
        <v>9</v>
      </c>
      <c r="D40" s="5" t="n">
        <v>560</v>
      </c>
      <c r="E40" s="6" t="s">
        <v>21</v>
      </c>
      <c r="F40" s="5"/>
    </row>
    <row r="41" customFormat="false" ht="15" hidden="false" customHeight="false" outlineLevel="0" collapsed="false">
      <c r="A41" s="5" t="n">
        <v>38</v>
      </c>
      <c r="B41" s="5" t="s">
        <v>2306</v>
      </c>
      <c r="C41" s="5" t="n">
        <v>7</v>
      </c>
      <c r="D41" s="5" t="n">
        <v>1226</v>
      </c>
      <c r="E41" s="6" t="s">
        <v>21</v>
      </c>
      <c r="F41" s="5"/>
    </row>
    <row r="42" customFormat="false" ht="15" hidden="false" customHeight="false" outlineLevel="0" collapsed="false">
      <c r="A42" s="5" t="n">
        <v>39</v>
      </c>
      <c r="B42" s="5" t="s">
        <v>2307</v>
      </c>
      <c r="C42" s="5" t="n">
        <v>409</v>
      </c>
      <c r="D42" s="5" t="n">
        <v>771</v>
      </c>
      <c r="E42" s="6" t="s">
        <v>21</v>
      </c>
      <c r="F42" s="5"/>
    </row>
    <row r="43" customFormat="false" ht="15" hidden="false" customHeight="false" outlineLevel="0" collapsed="false">
      <c r="A43" s="5" t="n">
        <v>40</v>
      </c>
      <c r="B43" s="5" t="s">
        <v>2308</v>
      </c>
      <c r="C43" s="5" t="n">
        <v>138</v>
      </c>
      <c r="D43" s="5" t="n">
        <v>333</v>
      </c>
      <c r="E43" s="6" t="s">
        <v>21</v>
      </c>
      <c r="F43" s="5"/>
    </row>
    <row r="44" customFormat="false" ht="15" hidden="false" customHeight="false" outlineLevel="0" collapsed="false">
      <c r="A44" s="5" t="n">
        <v>41</v>
      </c>
      <c r="B44" s="5" t="s">
        <v>2309</v>
      </c>
      <c r="C44" s="5" t="n">
        <v>92</v>
      </c>
      <c r="D44" s="5" t="n">
        <v>0</v>
      </c>
      <c r="E44" s="6" t="s">
        <v>21</v>
      </c>
      <c r="F44" s="5"/>
    </row>
    <row r="45" customFormat="false" ht="15" hidden="false" customHeight="false" outlineLevel="0" collapsed="false">
      <c r="A45" s="5" t="n">
        <v>42</v>
      </c>
      <c r="B45" s="5" t="s">
        <v>2310</v>
      </c>
      <c r="C45" s="5" t="n">
        <v>79</v>
      </c>
      <c r="D45" s="5" t="n">
        <v>4529</v>
      </c>
      <c r="E45" s="6" t="s">
        <v>21</v>
      </c>
      <c r="F45" s="5"/>
    </row>
    <row r="46" customFormat="false" ht="15" hidden="false" customHeight="false" outlineLevel="0" collapsed="false">
      <c r="A46" s="5" t="n">
        <v>43</v>
      </c>
      <c r="B46" s="5" t="s">
        <v>2311</v>
      </c>
      <c r="C46" s="5" t="n">
        <v>55</v>
      </c>
      <c r="D46" s="5" t="n">
        <v>841</v>
      </c>
      <c r="E46" s="6" t="s">
        <v>21</v>
      </c>
      <c r="F46" s="5"/>
    </row>
    <row r="47" customFormat="false" ht="15" hidden="false" customHeight="false" outlineLevel="0" collapsed="false">
      <c r="A47" s="5" t="n">
        <v>44</v>
      </c>
      <c r="B47" s="5" t="s">
        <v>2312</v>
      </c>
      <c r="C47" s="5" t="n">
        <v>55</v>
      </c>
      <c r="D47" s="5" t="n">
        <v>160</v>
      </c>
      <c r="E47" s="6" t="s">
        <v>21</v>
      </c>
      <c r="F47" s="5"/>
    </row>
    <row r="48" customFormat="false" ht="15" hidden="false" customHeight="false" outlineLevel="0" collapsed="false">
      <c r="A48" s="5" t="n">
        <v>45</v>
      </c>
      <c r="B48" s="5" t="s">
        <v>2313</v>
      </c>
      <c r="C48" s="5" t="n">
        <v>46</v>
      </c>
      <c r="D48" s="5" t="n">
        <v>171</v>
      </c>
      <c r="E48" s="6" t="s">
        <v>21</v>
      </c>
      <c r="F48" s="5"/>
    </row>
    <row r="49" customFormat="false" ht="15" hidden="false" customHeight="false" outlineLevel="0" collapsed="false">
      <c r="A49" s="5" t="n">
        <v>46</v>
      </c>
      <c r="B49" s="5" t="s">
        <v>2314</v>
      </c>
      <c r="C49" s="5" t="n">
        <v>44</v>
      </c>
      <c r="D49" s="5" t="n">
        <v>111</v>
      </c>
      <c r="E49" s="6" t="s">
        <v>21</v>
      </c>
      <c r="F49" s="5"/>
    </row>
    <row r="50" customFormat="false" ht="15" hidden="false" customHeight="false" outlineLevel="0" collapsed="false">
      <c r="A50" s="5" t="n">
        <v>47</v>
      </c>
      <c r="B50" s="5" t="s">
        <v>2315</v>
      </c>
      <c r="C50" s="5" t="n">
        <v>44</v>
      </c>
      <c r="D50" s="5" t="n">
        <v>67</v>
      </c>
      <c r="E50" s="6" t="s">
        <v>21</v>
      </c>
      <c r="F50" s="5"/>
    </row>
    <row r="51" customFormat="false" ht="15" hidden="false" customHeight="false" outlineLevel="0" collapsed="false">
      <c r="A51" s="5" t="n">
        <v>48</v>
      </c>
      <c r="B51" s="5" t="s">
        <v>2316</v>
      </c>
      <c r="C51" s="5" t="n">
        <v>42</v>
      </c>
      <c r="D51" s="5" t="n">
        <v>19</v>
      </c>
      <c r="E51" s="6" t="s">
        <v>21</v>
      </c>
      <c r="F51" s="5"/>
    </row>
    <row r="52" customFormat="false" ht="15" hidden="false" customHeight="false" outlineLevel="0" collapsed="false">
      <c r="A52" s="5" t="n">
        <v>49</v>
      </c>
      <c r="B52" s="5" t="s">
        <v>2317</v>
      </c>
      <c r="C52" s="5" t="n">
        <v>41</v>
      </c>
      <c r="D52" s="5" t="n">
        <v>61</v>
      </c>
      <c r="E52" s="6" t="s">
        <v>21</v>
      </c>
      <c r="F52" s="5"/>
    </row>
    <row r="53" customFormat="false" ht="15" hidden="false" customHeight="false" outlineLevel="0" collapsed="false">
      <c r="A53" s="5" t="n">
        <v>50</v>
      </c>
      <c r="B53" s="5" t="s">
        <v>2318</v>
      </c>
      <c r="C53" s="5" t="n">
        <v>39</v>
      </c>
      <c r="D53" s="5" t="n">
        <v>407</v>
      </c>
      <c r="E53" s="6" t="s">
        <v>21</v>
      </c>
      <c r="F53" s="5"/>
    </row>
    <row r="54" customFormat="false" ht="15" hidden="false" customHeight="false" outlineLevel="0" collapsed="false">
      <c r="A54" s="5" t="n">
        <v>51</v>
      </c>
      <c r="B54" s="5" t="s">
        <v>2319</v>
      </c>
      <c r="C54" s="5" t="n">
        <v>35</v>
      </c>
      <c r="D54" s="5" t="n">
        <v>22</v>
      </c>
      <c r="E54" s="6" t="s">
        <v>21</v>
      </c>
      <c r="F54" s="5"/>
    </row>
    <row r="55" customFormat="false" ht="15" hidden="false" customHeight="false" outlineLevel="0" collapsed="false">
      <c r="A55" s="5" t="n">
        <v>52</v>
      </c>
      <c r="B55" s="5" t="s">
        <v>2320</v>
      </c>
      <c r="C55" s="5" t="n">
        <v>35</v>
      </c>
      <c r="D55" s="5" t="n">
        <v>14</v>
      </c>
      <c r="E55" s="6" t="s">
        <v>21</v>
      </c>
      <c r="F55" s="5"/>
    </row>
    <row r="56" customFormat="false" ht="15" hidden="false" customHeight="false" outlineLevel="0" collapsed="false">
      <c r="A56" s="5" t="n">
        <v>53</v>
      </c>
      <c r="B56" s="5" t="s">
        <v>2321</v>
      </c>
      <c r="C56" s="5" t="n">
        <v>33</v>
      </c>
      <c r="D56" s="5" t="n">
        <v>126</v>
      </c>
      <c r="E56" s="6" t="s">
        <v>21</v>
      </c>
      <c r="F56" s="5"/>
    </row>
    <row r="57" customFormat="false" ht="15" hidden="false" customHeight="false" outlineLevel="0" collapsed="false">
      <c r="A57" s="5" t="n">
        <v>54</v>
      </c>
      <c r="B57" s="5" t="s">
        <v>2322</v>
      </c>
      <c r="C57" s="5" t="n">
        <v>30</v>
      </c>
      <c r="D57" s="5" t="n">
        <v>102</v>
      </c>
      <c r="E57" s="6" t="s">
        <v>21</v>
      </c>
      <c r="F57" s="5"/>
    </row>
    <row r="58" customFormat="false" ht="15" hidden="false" customHeight="false" outlineLevel="0" collapsed="false">
      <c r="A58" s="5" t="n">
        <v>55</v>
      </c>
      <c r="B58" s="5" t="s">
        <v>2323</v>
      </c>
      <c r="C58" s="5" t="n">
        <v>28</v>
      </c>
      <c r="D58" s="5" t="n">
        <v>123</v>
      </c>
      <c r="E58" s="6" t="s">
        <v>21</v>
      </c>
      <c r="F58" s="5"/>
    </row>
    <row r="59" customFormat="false" ht="15" hidden="false" customHeight="false" outlineLevel="0" collapsed="false">
      <c r="A59" s="5" t="n">
        <v>56</v>
      </c>
      <c r="B59" s="5" t="s">
        <v>2324</v>
      </c>
      <c r="C59" s="5" t="n">
        <v>27</v>
      </c>
      <c r="D59" s="5" t="n">
        <v>472</v>
      </c>
      <c r="E59" s="6" t="s">
        <v>21</v>
      </c>
      <c r="F59" s="5"/>
    </row>
    <row r="60" customFormat="false" ht="15" hidden="false" customHeight="false" outlineLevel="0" collapsed="false">
      <c r="A60" s="5" t="n">
        <v>57</v>
      </c>
      <c r="B60" s="5" t="s">
        <v>2325</v>
      </c>
      <c r="C60" s="5" t="n">
        <v>27</v>
      </c>
      <c r="D60" s="5" t="n">
        <v>156</v>
      </c>
      <c r="E60" s="6" t="s">
        <v>21</v>
      </c>
      <c r="F60" s="5"/>
    </row>
    <row r="61" customFormat="false" ht="15" hidden="false" customHeight="false" outlineLevel="0" collapsed="false">
      <c r="A61" s="5" t="n">
        <v>58</v>
      </c>
      <c r="B61" s="5" t="s">
        <v>2326</v>
      </c>
      <c r="C61" s="5" t="n">
        <v>24</v>
      </c>
      <c r="D61" s="5" t="n">
        <v>787</v>
      </c>
      <c r="E61" s="6" t="s">
        <v>21</v>
      </c>
      <c r="F61" s="5"/>
    </row>
    <row r="62" customFormat="false" ht="15" hidden="false" customHeight="false" outlineLevel="0" collapsed="false">
      <c r="A62" s="5" t="n">
        <v>59</v>
      </c>
      <c r="B62" s="5" t="s">
        <v>2327</v>
      </c>
      <c r="C62" s="5" t="n">
        <v>24</v>
      </c>
      <c r="D62" s="5" t="n">
        <v>80</v>
      </c>
      <c r="E62" s="6" t="s">
        <v>21</v>
      </c>
      <c r="F62" s="5"/>
    </row>
    <row r="63" customFormat="false" ht="15" hidden="false" customHeight="false" outlineLevel="0" collapsed="false">
      <c r="A63" s="5" t="n">
        <v>60</v>
      </c>
      <c r="B63" s="5" t="s">
        <v>2328</v>
      </c>
      <c r="C63" s="5" t="n">
        <v>23</v>
      </c>
      <c r="D63" s="5" t="n">
        <v>74</v>
      </c>
      <c r="E63" s="6" t="s">
        <v>21</v>
      </c>
      <c r="F63" s="5"/>
    </row>
    <row r="64" customFormat="false" ht="15" hidden="false" customHeight="false" outlineLevel="0" collapsed="false">
      <c r="A64" s="5" t="n">
        <v>61</v>
      </c>
      <c r="B64" s="5" t="s">
        <v>2329</v>
      </c>
      <c r="C64" s="5" t="n">
        <v>23</v>
      </c>
      <c r="D64" s="5" t="n">
        <v>27</v>
      </c>
      <c r="E64" s="6" t="s">
        <v>21</v>
      </c>
      <c r="F64" s="5"/>
    </row>
    <row r="65" customFormat="false" ht="15" hidden="false" customHeight="false" outlineLevel="0" collapsed="false">
      <c r="A65" s="5" t="n">
        <v>62</v>
      </c>
      <c r="B65" s="5" t="s">
        <v>2330</v>
      </c>
      <c r="C65" s="5" t="n">
        <v>22</v>
      </c>
      <c r="D65" s="5" t="n">
        <v>9</v>
      </c>
      <c r="E65" s="6" t="s">
        <v>21</v>
      </c>
      <c r="F65" s="5"/>
    </row>
    <row r="66" customFormat="false" ht="15" hidden="false" customHeight="false" outlineLevel="0" collapsed="false">
      <c r="A66" s="5" t="n">
        <v>63</v>
      </c>
      <c r="B66" s="5" t="s">
        <v>2331</v>
      </c>
      <c r="C66" s="5" t="n">
        <v>21</v>
      </c>
      <c r="D66" s="5" t="n">
        <v>28</v>
      </c>
      <c r="E66" s="6" t="s">
        <v>21</v>
      </c>
      <c r="F66" s="5"/>
    </row>
    <row r="67" customFormat="false" ht="15" hidden="false" customHeight="false" outlineLevel="0" collapsed="false">
      <c r="A67" s="5" t="n">
        <v>64</v>
      </c>
      <c r="B67" s="5" t="s">
        <v>2332</v>
      </c>
      <c r="C67" s="5" t="n">
        <v>20</v>
      </c>
      <c r="D67" s="5" t="n">
        <v>27</v>
      </c>
      <c r="E67" s="6" t="s">
        <v>21</v>
      </c>
      <c r="F67" s="5"/>
    </row>
    <row r="68" customFormat="false" ht="15" hidden="false" customHeight="false" outlineLevel="0" collapsed="false">
      <c r="A68" s="5" t="n">
        <v>65</v>
      </c>
      <c r="B68" s="5" t="s">
        <v>2333</v>
      </c>
      <c r="C68" s="5" t="n">
        <v>19</v>
      </c>
      <c r="D68" s="5" t="n">
        <v>40</v>
      </c>
      <c r="E68" s="6" t="s">
        <v>21</v>
      </c>
      <c r="F68" s="5"/>
    </row>
    <row r="69" customFormat="false" ht="15" hidden="false" customHeight="false" outlineLevel="0" collapsed="false">
      <c r="A69" s="5" t="n">
        <v>66</v>
      </c>
      <c r="B69" s="5" t="s">
        <v>2334</v>
      </c>
      <c r="C69" s="5" t="n">
        <v>18</v>
      </c>
      <c r="D69" s="5" t="n">
        <v>173</v>
      </c>
      <c r="E69" s="6" t="s">
        <v>21</v>
      </c>
      <c r="F69" s="5"/>
    </row>
    <row r="70" customFormat="false" ht="15" hidden="false" customHeight="false" outlineLevel="0" collapsed="false">
      <c r="A70" s="5" t="n">
        <v>67</v>
      </c>
      <c r="B70" s="5" t="s">
        <v>2335</v>
      </c>
      <c r="C70" s="5" t="n">
        <v>17</v>
      </c>
      <c r="D70" s="5" t="n">
        <v>30</v>
      </c>
      <c r="E70" s="6" t="s">
        <v>21</v>
      </c>
      <c r="F70" s="5"/>
    </row>
    <row r="71" customFormat="false" ht="15" hidden="false" customHeight="false" outlineLevel="0" collapsed="false">
      <c r="A71" s="5" t="n">
        <v>68</v>
      </c>
      <c r="B71" s="5" t="s">
        <v>2336</v>
      </c>
      <c r="C71" s="5" t="n">
        <v>16</v>
      </c>
      <c r="D71" s="5" t="n">
        <v>149</v>
      </c>
      <c r="E71" s="6" t="s">
        <v>21</v>
      </c>
      <c r="F71" s="5"/>
    </row>
    <row r="72" customFormat="false" ht="15" hidden="false" customHeight="false" outlineLevel="0" collapsed="false">
      <c r="A72" s="5" t="n">
        <v>69</v>
      </c>
      <c r="B72" s="5" t="s">
        <v>2337</v>
      </c>
      <c r="C72" s="5" t="n">
        <v>16</v>
      </c>
      <c r="D72" s="5" t="n">
        <v>91</v>
      </c>
      <c r="E72" s="6" t="s">
        <v>21</v>
      </c>
      <c r="F72" s="5"/>
    </row>
    <row r="73" customFormat="false" ht="15" hidden="false" customHeight="false" outlineLevel="0" collapsed="false">
      <c r="A73" s="5" t="n">
        <v>70</v>
      </c>
      <c r="B73" s="5" t="s">
        <v>2338</v>
      </c>
      <c r="C73" s="5" t="n">
        <v>15</v>
      </c>
      <c r="D73" s="5" t="n">
        <v>165</v>
      </c>
      <c r="E73" s="6" t="s">
        <v>21</v>
      </c>
      <c r="F73" s="5"/>
    </row>
    <row r="74" customFormat="false" ht="15" hidden="false" customHeight="false" outlineLevel="0" collapsed="false">
      <c r="A74" s="5" t="n">
        <v>71</v>
      </c>
      <c r="B74" s="5" t="s">
        <v>2339</v>
      </c>
      <c r="C74" s="5" t="n">
        <v>14</v>
      </c>
      <c r="D74" s="5" t="n">
        <v>295</v>
      </c>
      <c r="E74" s="6" t="s">
        <v>21</v>
      </c>
      <c r="F74" s="5"/>
    </row>
    <row r="75" customFormat="false" ht="15" hidden="false" customHeight="false" outlineLevel="0" collapsed="false">
      <c r="A75" s="5" t="n">
        <v>72</v>
      </c>
      <c r="B75" s="5" t="s">
        <v>2340</v>
      </c>
      <c r="C75" s="5" t="n">
        <v>14</v>
      </c>
      <c r="D75" s="5" t="n">
        <v>122</v>
      </c>
      <c r="E75" s="6" t="s">
        <v>21</v>
      </c>
      <c r="F75" s="5"/>
    </row>
    <row r="76" customFormat="false" ht="15" hidden="false" customHeight="false" outlineLevel="0" collapsed="false">
      <c r="A76" s="5" t="n">
        <v>73</v>
      </c>
      <c r="B76" s="5" t="s">
        <v>2341</v>
      </c>
      <c r="C76" s="5" t="n">
        <v>14</v>
      </c>
      <c r="D76" s="5" t="n">
        <v>113</v>
      </c>
      <c r="E76" s="6" t="s">
        <v>21</v>
      </c>
      <c r="F76" s="5"/>
    </row>
    <row r="77" customFormat="false" ht="15" hidden="false" customHeight="false" outlineLevel="0" collapsed="false">
      <c r="A77" s="5" t="n">
        <v>74</v>
      </c>
      <c r="B77" s="5" t="s">
        <v>2342</v>
      </c>
      <c r="C77" s="5" t="n">
        <v>14</v>
      </c>
      <c r="D77" s="5" t="n">
        <v>20</v>
      </c>
      <c r="E77" s="6" t="s">
        <v>21</v>
      </c>
      <c r="F77" s="5"/>
    </row>
    <row r="78" customFormat="false" ht="15" hidden="false" customHeight="false" outlineLevel="0" collapsed="false">
      <c r="A78" s="5" t="n">
        <v>75</v>
      </c>
      <c r="B78" s="5" t="s">
        <v>2343</v>
      </c>
      <c r="C78" s="5" t="n">
        <v>13</v>
      </c>
      <c r="D78" s="5" t="n">
        <v>555</v>
      </c>
      <c r="E78" s="6" t="s">
        <v>21</v>
      </c>
      <c r="F78" s="5"/>
    </row>
    <row r="79" customFormat="false" ht="15" hidden="false" customHeight="false" outlineLevel="0" collapsed="false">
      <c r="A79" s="5" t="n">
        <v>76</v>
      </c>
      <c r="B79" s="5" t="s">
        <v>2344</v>
      </c>
      <c r="C79" s="5" t="n">
        <v>13</v>
      </c>
      <c r="D79" s="5" t="n">
        <v>169</v>
      </c>
      <c r="E79" s="6" t="s">
        <v>21</v>
      </c>
      <c r="F79" s="5"/>
    </row>
    <row r="80" customFormat="false" ht="15" hidden="false" customHeight="false" outlineLevel="0" collapsed="false">
      <c r="A80" s="5" t="n">
        <v>77</v>
      </c>
      <c r="B80" s="5" t="s">
        <v>2345</v>
      </c>
      <c r="C80" s="5" t="n">
        <v>13</v>
      </c>
      <c r="D80" s="5" t="n">
        <v>35</v>
      </c>
      <c r="E80" s="6" t="s">
        <v>21</v>
      </c>
      <c r="F80" s="5"/>
    </row>
    <row r="81" customFormat="false" ht="15" hidden="false" customHeight="false" outlineLevel="0" collapsed="false">
      <c r="A81" s="5" t="n">
        <v>78</v>
      </c>
      <c r="B81" s="5" t="s">
        <v>2346</v>
      </c>
      <c r="C81" s="5" t="n">
        <v>13</v>
      </c>
      <c r="D81" s="5" t="n">
        <v>33</v>
      </c>
      <c r="E81" s="6" t="s">
        <v>21</v>
      </c>
      <c r="F81" s="5"/>
    </row>
    <row r="82" customFormat="false" ht="15" hidden="false" customHeight="false" outlineLevel="0" collapsed="false">
      <c r="A82" s="5" t="n">
        <v>79</v>
      </c>
      <c r="B82" s="5" t="s">
        <v>2347</v>
      </c>
      <c r="C82" s="5" t="n">
        <v>13</v>
      </c>
      <c r="D82" s="5" t="n">
        <v>30</v>
      </c>
      <c r="E82" s="6" t="s">
        <v>21</v>
      </c>
      <c r="F82" s="5"/>
    </row>
    <row r="83" customFormat="false" ht="15" hidden="false" customHeight="false" outlineLevel="0" collapsed="false">
      <c r="A83" s="5" t="n">
        <v>80</v>
      </c>
      <c r="B83" s="5" t="s">
        <v>2348</v>
      </c>
      <c r="C83" s="5" t="n">
        <v>13</v>
      </c>
      <c r="D83" s="5" t="n">
        <v>8</v>
      </c>
      <c r="E83" s="6" t="s">
        <v>21</v>
      </c>
      <c r="F83" s="5"/>
    </row>
    <row r="84" customFormat="false" ht="15" hidden="false" customHeight="false" outlineLevel="0" collapsed="false">
      <c r="A84" s="5" t="n">
        <v>81</v>
      </c>
      <c r="B84" s="5" t="s">
        <v>2349</v>
      </c>
      <c r="C84" s="5" t="n">
        <v>12</v>
      </c>
      <c r="D84" s="5" t="n">
        <v>17</v>
      </c>
      <c r="E84" s="6" t="s">
        <v>21</v>
      </c>
      <c r="F84" s="5"/>
    </row>
    <row r="85" customFormat="false" ht="15" hidden="false" customHeight="false" outlineLevel="0" collapsed="false">
      <c r="A85" s="5" t="n">
        <v>82</v>
      </c>
      <c r="B85" s="5" t="s">
        <v>2350</v>
      </c>
      <c r="C85" s="5" t="n">
        <v>12</v>
      </c>
      <c r="D85" s="5" t="n">
        <v>0</v>
      </c>
      <c r="E85" s="6" t="s">
        <v>21</v>
      </c>
      <c r="F85" s="5"/>
    </row>
    <row r="86" customFormat="false" ht="15" hidden="false" customHeight="false" outlineLevel="0" collapsed="false">
      <c r="A86" s="5" t="n">
        <v>83</v>
      </c>
      <c r="B86" s="5" t="s">
        <v>2351</v>
      </c>
      <c r="C86" s="5" t="n">
        <v>11</v>
      </c>
      <c r="D86" s="5" t="n">
        <v>63</v>
      </c>
      <c r="E86" s="6" t="s">
        <v>21</v>
      </c>
      <c r="F86" s="5"/>
    </row>
    <row r="87" customFormat="false" ht="15" hidden="false" customHeight="false" outlineLevel="0" collapsed="false">
      <c r="A87" s="5" t="n">
        <v>84</v>
      </c>
      <c r="B87" s="5" t="s">
        <v>2352</v>
      </c>
      <c r="C87" s="5" t="n">
        <v>11</v>
      </c>
      <c r="D87" s="5" t="n">
        <v>26</v>
      </c>
      <c r="E87" s="6" t="s">
        <v>21</v>
      </c>
      <c r="F87" s="5"/>
    </row>
    <row r="88" customFormat="false" ht="15" hidden="false" customHeight="false" outlineLevel="0" collapsed="false">
      <c r="A88" s="5" t="n">
        <v>85</v>
      </c>
      <c r="B88" s="5" t="s">
        <v>2353</v>
      </c>
      <c r="C88" s="5" t="n">
        <v>10</v>
      </c>
      <c r="D88" s="5" t="n">
        <v>257</v>
      </c>
      <c r="E88" s="6" t="s">
        <v>21</v>
      </c>
      <c r="F88" s="5"/>
    </row>
    <row r="89" customFormat="false" ht="15" hidden="false" customHeight="false" outlineLevel="0" collapsed="false">
      <c r="A89" s="5" t="n">
        <v>86</v>
      </c>
      <c r="B89" s="5" t="s">
        <v>2354</v>
      </c>
      <c r="C89" s="5" t="n">
        <v>10</v>
      </c>
      <c r="D89" s="5" t="n">
        <v>80</v>
      </c>
      <c r="E89" s="6" t="s">
        <v>21</v>
      </c>
      <c r="F89" s="5"/>
    </row>
    <row r="90" customFormat="false" ht="15" hidden="false" customHeight="false" outlineLevel="0" collapsed="false">
      <c r="A90" s="5" t="n">
        <v>87</v>
      </c>
      <c r="B90" s="5" t="s">
        <v>2355</v>
      </c>
      <c r="C90" s="5" t="n">
        <v>10</v>
      </c>
      <c r="D90" s="5" t="n">
        <v>67</v>
      </c>
      <c r="E90" s="6" t="s">
        <v>21</v>
      </c>
      <c r="F90" s="5"/>
    </row>
    <row r="91" customFormat="false" ht="15" hidden="false" customHeight="false" outlineLevel="0" collapsed="false">
      <c r="A91" s="5" t="n">
        <v>88</v>
      </c>
      <c r="B91" s="5" t="s">
        <v>2356</v>
      </c>
      <c r="C91" s="5" t="n">
        <v>10</v>
      </c>
      <c r="D91" s="5" t="n">
        <v>34</v>
      </c>
      <c r="E91" s="6" t="s">
        <v>21</v>
      </c>
      <c r="F91" s="5"/>
    </row>
    <row r="92" customFormat="false" ht="15" hidden="false" customHeight="false" outlineLevel="0" collapsed="false">
      <c r="A92" s="5" t="n">
        <v>89</v>
      </c>
      <c r="B92" s="5" t="s">
        <v>2357</v>
      </c>
      <c r="C92" s="5" t="n">
        <v>10</v>
      </c>
      <c r="D92" s="5" t="n">
        <v>21</v>
      </c>
      <c r="E92" s="6" t="s">
        <v>21</v>
      </c>
      <c r="F92" s="5"/>
    </row>
    <row r="93" customFormat="false" ht="15" hidden="false" customHeight="false" outlineLevel="0" collapsed="false">
      <c r="A93" s="5" t="n">
        <v>90</v>
      </c>
      <c r="B93" s="5" t="s">
        <v>2358</v>
      </c>
      <c r="C93" s="5" t="n">
        <v>10</v>
      </c>
      <c r="D93" s="5" t="n">
        <v>12</v>
      </c>
      <c r="E93" s="6" t="s">
        <v>21</v>
      </c>
      <c r="F93" s="5"/>
    </row>
    <row r="94" customFormat="false" ht="15" hidden="false" customHeight="false" outlineLevel="0" collapsed="false">
      <c r="A94" s="5" t="n">
        <v>91</v>
      </c>
      <c r="B94" s="5" t="s">
        <v>2359</v>
      </c>
      <c r="C94" s="5" t="n">
        <v>9</v>
      </c>
      <c r="D94" s="5" t="n">
        <v>446</v>
      </c>
      <c r="E94" s="6" t="s">
        <v>21</v>
      </c>
      <c r="F94" s="5"/>
    </row>
    <row r="95" customFormat="false" ht="15" hidden="false" customHeight="false" outlineLevel="0" collapsed="false">
      <c r="A95" s="5" t="n">
        <v>92</v>
      </c>
      <c r="B95" s="5" t="s">
        <v>2360</v>
      </c>
      <c r="C95" s="5" t="n">
        <v>9</v>
      </c>
      <c r="D95" s="5" t="n">
        <v>291</v>
      </c>
      <c r="E95" s="6" t="s">
        <v>21</v>
      </c>
      <c r="F95" s="5"/>
    </row>
    <row r="96" customFormat="false" ht="15" hidden="false" customHeight="false" outlineLevel="0" collapsed="false">
      <c r="A96" s="5" t="n">
        <v>93</v>
      </c>
      <c r="B96" s="5" t="s">
        <v>2361</v>
      </c>
      <c r="C96" s="5" t="n">
        <v>8</v>
      </c>
      <c r="D96" s="5" t="n">
        <v>552</v>
      </c>
      <c r="E96" s="6" t="s">
        <v>21</v>
      </c>
      <c r="F96" s="5"/>
    </row>
    <row r="97" customFormat="false" ht="15" hidden="false" customHeight="false" outlineLevel="0" collapsed="false">
      <c r="A97" s="5" t="n">
        <v>94</v>
      </c>
      <c r="B97" s="5" t="s">
        <v>2362</v>
      </c>
      <c r="C97" s="5" t="n">
        <v>8</v>
      </c>
      <c r="D97" s="5" t="n">
        <v>275</v>
      </c>
      <c r="E97" s="6" t="s">
        <v>21</v>
      </c>
      <c r="F97" s="5"/>
    </row>
    <row r="98" customFormat="false" ht="15" hidden="false" customHeight="false" outlineLevel="0" collapsed="false">
      <c r="A98" s="5" t="n">
        <v>95</v>
      </c>
      <c r="B98" s="5" t="s">
        <v>2363</v>
      </c>
      <c r="C98" s="5" t="n">
        <v>8</v>
      </c>
      <c r="D98" s="5" t="n">
        <v>17</v>
      </c>
      <c r="E98" s="6" t="s">
        <v>21</v>
      </c>
      <c r="F98" s="5"/>
    </row>
    <row r="99" customFormat="false" ht="15" hidden="false" customHeight="false" outlineLevel="0" collapsed="false">
      <c r="A99" s="5" t="n">
        <v>96</v>
      </c>
      <c r="B99" s="5" t="s">
        <v>2364</v>
      </c>
      <c r="C99" s="5" t="n">
        <v>8</v>
      </c>
      <c r="D99" s="5" t="n">
        <v>11</v>
      </c>
      <c r="E99" s="6" t="s">
        <v>21</v>
      </c>
      <c r="F99" s="5"/>
    </row>
    <row r="100" customFormat="false" ht="15" hidden="false" customHeight="false" outlineLevel="0" collapsed="false">
      <c r="A100" s="5" t="n">
        <v>97</v>
      </c>
      <c r="B100" s="5" t="s">
        <v>2365</v>
      </c>
      <c r="C100" s="5" t="n">
        <v>8</v>
      </c>
      <c r="D100" s="5" t="n">
        <v>11</v>
      </c>
      <c r="E100" s="6" t="s">
        <v>21</v>
      </c>
      <c r="F100" s="5"/>
    </row>
    <row r="101" customFormat="false" ht="15" hidden="false" customHeight="false" outlineLevel="0" collapsed="false">
      <c r="A101" s="5" t="n">
        <v>98</v>
      </c>
      <c r="B101" s="5" t="s">
        <v>2366</v>
      </c>
      <c r="C101" s="5" t="n">
        <v>8</v>
      </c>
      <c r="D101" s="5" t="n">
        <v>6</v>
      </c>
      <c r="E101" s="6" t="s">
        <v>21</v>
      </c>
      <c r="F101" s="5"/>
    </row>
    <row r="102" customFormat="false" ht="15" hidden="false" customHeight="false" outlineLevel="0" collapsed="false">
      <c r="A102" s="5" t="n">
        <v>99</v>
      </c>
      <c r="B102" s="5" t="s">
        <v>2367</v>
      </c>
      <c r="C102" s="5" t="n">
        <v>8</v>
      </c>
      <c r="D102" s="5" t="n">
        <v>1</v>
      </c>
      <c r="E102" s="6" t="s">
        <v>21</v>
      </c>
      <c r="F102" s="5"/>
    </row>
    <row r="103" customFormat="false" ht="15" hidden="false" customHeight="false" outlineLevel="0" collapsed="false">
      <c r="A103" s="5" t="n">
        <v>100</v>
      </c>
      <c r="B103" s="5" t="s">
        <v>2368</v>
      </c>
      <c r="C103" s="5" t="n">
        <v>8</v>
      </c>
      <c r="D103" s="5" t="n">
        <v>0</v>
      </c>
      <c r="E103" s="6" t="s">
        <v>21</v>
      </c>
      <c r="F103" s="5"/>
    </row>
    <row r="104" customFormat="false" ht="15" hidden="false" customHeight="false" outlineLevel="0" collapsed="false">
      <c r="A104" s="5" t="n">
        <v>101</v>
      </c>
      <c r="B104" s="5" t="s">
        <v>2369</v>
      </c>
      <c r="C104" s="5" t="n">
        <v>8</v>
      </c>
      <c r="D104" s="5" t="n">
        <v>0</v>
      </c>
      <c r="E104" s="6" t="s">
        <v>21</v>
      </c>
      <c r="F104" s="5"/>
    </row>
    <row r="105" customFormat="false" ht="15" hidden="false" customHeight="false" outlineLevel="0" collapsed="false">
      <c r="A105" s="5" t="n">
        <v>102</v>
      </c>
      <c r="B105" s="5" t="s">
        <v>2370</v>
      </c>
      <c r="C105" s="5" t="n">
        <v>8</v>
      </c>
      <c r="D105" s="5" t="n">
        <v>0</v>
      </c>
      <c r="E105" s="6" t="s">
        <v>21</v>
      </c>
      <c r="F105" s="5"/>
    </row>
    <row r="106" customFormat="false" ht="15" hidden="false" customHeight="false" outlineLevel="0" collapsed="false">
      <c r="A106" s="5" t="n">
        <v>103</v>
      </c>
      <c r="B106" s="5" t="s">
        <v>2371</v>
      </c>
      <c r="C106" s="5" t="n">
        <v>8</v>
      </c>
      <c r="D106" s="5" t="n">
        <v>0</v>
      </c>
      <c r="E106" s="6" t="s">
        <v>21</v>
      </c>
      <c r="F106" s="5"/>
    </row>
    <row r="107" customFormat="false" ht="15" hidden="false" customHeight="false" outlineLevel="0" collapsed="false">
      <c r="A107" s="5" t="n">
        <v>104</v>
      </c>
      <c r="B107" s="5" t="s">
        <v>2372</v>
      </c>
      <c r="C107" s="5" t="n">
        <v>8</v>
      </c>
      <c r="D107" s="5" t="n">
        <v>0</v>
      </c>
      <c r="E107" s="6" t="s">
        <v>21</v>
      </c>
      <c r="F107" s="5"/>
    </row>
    <row r="108" customFormat="false" ht="15" hidden="false" customHeight="false" outlineLevel="0" collapsed="false">
      <c r="A108" s="5" t="n">
        <v>105</v>
      </c>
      <c r="B108" s="5" t="s">
        <v>2373</v>
      </c>
      <c r="C108" s="5" t="n">
        <v>7</v>
      </c>
      <c r="D108" s="5" t="n">
        <v>235</v>
      </c>
      <c r="E108" s="6" t="s">
        <v>21</v>
      </c>
      <c r="F108" s="5"/>
    </row>
    <row r="109" customFormat="false" ht="15" hidden="false" customHeight="false" outlineLevel="0" collapsed="false">
      <c r="A109" s="5" t="n">
        <v>106</v>
      </c>
      <c r="B109" s="5" t="s">
        <v>2374</v>
      </c>
      <c r="C109" s="5" t="n">
        <v>7</v>
      </c>
      <c r="D109" s="5" t="n">
        <v>126</v>
      </c>
      <c r="E109" s="6" t="s">
        <v>21</v>
      </c>
      <c r="F109" s="5"/>
    </row>
    <row r="110" customFormat="false" ht="15" hidden="false" customHeight="false" outlineLevel="0" collapsed="false">
      <c r="A110" s="5" t="n">
        <v>107</v>
      </c>
      <c r="B110" s="5" t="s">
        <v>2375</v>
      </c>
      <c r="C110" s="5" t="n">
        <v>7</v>
      </c>
      <c r="D110" s="5" t="n">
        <v>84</v>
      </c>
      <c r="E110" s="6" t="s">
        <v>21</v>
      </c>
      <c r="F110" s="5"/>
    </row>
    <row r="111" customFormat="false" ht="15" hidden="false" customHeight="false" outlineLevel="0" collapsed="false">
      <c r="A111" s="5" t="n">
        <v>108</v>
      </c>
      <c r="B111" s="5" t="s">
        <v>2376</v>
      </c>
      <c r="C111" s="5" t="n">
        <v>7</v>
      </c>
      <c r="D111" s="5" t="n">
        <v>74</v>
      </c>
      <c r="E111" s="6" t="s">
        <v>21</v>
      </c>
      <c r="F111" s="5"/>
    </row>
    <row r="112" customFormat="false" ht="15" hidden="false" customHeight="false" outlineLevel="0" collapsed="false">
      <c r="A112" s="5" t="n">
        <v>109</v>
      </c>
      <c r="B112" s="5" t="s">
        <v>2377</v>
      </c>
      <c r="C112" s="5" t="n">
        <v>7</v>
      </c>
      <c r="D112" s="5" t="n">
        <v>33</v>
      </c>
      <c r="E112" s="6" t="s">
        <v>21</v>
      </c>
      <c r="F112" s="5"/>
    </row>
    <row r="113" customFormat="false" ht="15" hidden="false" customHeight="false" outlineLevel="0" collapsed="false">
      <c r="A113" s="5" t="n">
        <v>110</v>
      </c>
      <c r="B113" s="5" t="s">
        <v>2378</v>
      </c>
      <c r="C113" s="5" t="n">
        <v>7</v>
      </c>
      <c r="D113" s="5" t="n">
        <v>25</v>
      </c>
      <c r="E113" s="6" t="s">
        <v>21</v>
      </c>
      <c r="F113" s="5"/>
    </row>
    <row r="114" customFormat="false" ht="15" hidden="false" customHeight="false" outlineLevel="0" collapsed="false">
      <c r="A114" s="5" t="n">
        <v>111</v>
      </c>
      <c r="B114" s="5" t="s">
        <v>2379</v>
      </c>
      <c r="C114" s="5" t="n">
        <v>7</v>
      </c>
      <c r="D114" s="5" t="n">
        <v>17</v>
      </c>
      <c r="E114" s="6" t="s">
        <v>21</v>
      </c>
      <c r="F114" s="5"/>
    </row>
    <row r="115" customFormat="false" ht="15" hidden="false" customHeight="false" outlineLevel="0" collapsed="false">
      <c r="A115" s="5" t="n">
        <v>112</v>
      </c>
      <c r="B115" s="5" t="s">
        <v>2380</v>
      </c>
      <c r="C115" s="5" t="n">
        <v>7</v>
      </c>
      <c r="D115" s="5" t="n">
        <v>15</v>
      </c>
      <c r="E115" s="6" t="s">
        <v>21</v>
      </c>
      <c r="F115" s="5"/>
    </row>
    <row r="116" customFormat="false" ht="15" hidden="false" customHeight="false" outlineLevel="0" collapsed="false">
      <c r="A116" s="5" t="n">
        <v>113</v>
      </c>
      <c r="B116" s="5" t="s">
        <v>2381</v>
      </c>
      <c r="C116" s="5" t="n">
        <v>7</v>
      </c>
      <c r="D116" s="5" t="n">
        <v>3</v>
      </c>
      <c r="E116" s="6" t="s">
        <v>21</v>
      </c>
      <c r="F116" s="5"/>
    </row>
    <row r="117" customFormat="false" ht="15" hidden="false" customHeight="false" outlineLevel="0" collapsed="false">
      <c r="A117" s="5" t="n">
        <v>114</v>
      </c>
      <c r="B117" s="5" t="s">
        <v>2382</v>
      </c>
      <c r="C117" s="5" t="n">
        <v>7</v>
      </c>
      <c r="D117" s="5" t="n">
        <v>1</v>
      </c>
      <c r="E117" s="6" t="s">
        <v>21</v>
      </c>
      <c r="F117" s="5"/>
    </row>
    <row r="118" customFormat="false" ht="15" hidden="false" customHeight="false" outlineLevel="0" collapsed="false">
      <c r="A118" s="5" t="n">
        <v>115</v>
      </c>
      <c r="B118" s="5" t="s">
        <v>2383</v>
      </c>
      <c r="C118" s="5" t="n">
        <v>7</v>
      </c>
      <c r="D118" s="5" t="n">
        <v>0</v>
      </c>
      <c r="E118" s="6" t="s">
        <v>21</v>
      </c>
      <c r="F118" s="5"/>
    </row>
    <row r="119" customFormat="false" ht="15" hidden="false" customHeight="false" outlineLevel="0" collapsed="false">
      <c r="A119" s="5" t="n">
        <v>116</v>
      </c>
      <c r="B119" s="5" t="s">
        <v>2384</v>
      </c>
      <c r="C119" s="5" t="n">
        <v>6</v>
      </c>
      <c r="D119" s="5" t="n">
        <v>349</v>
      </c>
      <c r="E119" s="6" t="s">
        <v>21</v>
      </c>
      <c r="F119" s="5"/>
    </row>
    <row r="120" customFormat="false" ht="15" hidden="false" customHeight="false" outlineLevel="0" collapsed="false">
      <c r="A120" s="5" t="n">
        <v>117</v>
      </c>
      <c r="B120" s="5" t="s">
        <v>2385</v>
      </c>
      <c r="C120" s="5" t="n">
        <v>6</v>
      </c>
      <c r="D120" s="5" t="n">
        <v>212</v>
      </c>
      <c r="E120" s="6" t="s">
        <v>21</v>
      </c>
      <c r="F120" s="5"/>
    </row>
    <row r="121" customFormat="false" ht="15" hidden="false" customHeight="false" outlineLevel="0" collapsed="false">
      <c r="A121" s="5" t="n">
        <v>118</v>
      </c>
      <c r="B121" s="5" t="s">
        <v>2386</v>
      </c>
      <c r="C121" s="5" t="n">
        <v>6</v>
      </c>
      <c r="D121" s="5" t="n">
        <v>130</v>
      </c>
      <c r="E121" s="6" t="s">
        <v>21</v>
      </c>
      <c r="F121" s="5"/>
    </row>
    <row r="122" customFormat="false" ht="15" hidden="false" customHeight="false" outlineLevel="0" collapsed="false">
      <c r="A122" s="5" t="n">
        <v>119</v>
      </c>
      <c r="B122" s="5" t="s">
        <v>2387</v>
      </c>
      <c r="C122" s="5" t="n">
        <v>6</v>
      </c>
      <c r="D122" s="5" t="n">
        <v>110</v>
      </c>
      <c r="E122" s="6" t="s">
        <v>21</v>
      </c>
      <c r="F122" s="5"/>
    </row>
    <row r="123" customFormat="false" ht="15" hidden="false" customHeight="false" outlineLevel="0" collapsed="false">
      <c r="A123" s="5" t="n">
        <v>120</v>
      </c>
      <c r="B123" s="5" t="s">
        <v>2388</v>
      </c>
      <c r="C123" s="5" t="n">
        <v>6</v>
      </c>
      <c r="D123" s="5" t="n">
        <v>54</v>
      </c>
      <c r="E123" s="6" t="s">
        <v>21</v>
      </c>
      <c r="F123" s="5"/>
    </row>
    <row r="124" customFormat="false" ht="15" hidden="false" customHeight="false" outlineLevel="0" collapsed="false">
      <c r="A124" s="5" t="n">
        <v>121</v>
      </c>
      <c r="B124" s="5" t="s">
        <v>2389</v>
      </c>
      <c r="C124" s="5" t="n">
        <v>6</v>
      </c>
      <c r="D124" s="5" t="n">
        <v>17</v>
      </c>
      <c r="E124" s="6" t="s">
        <v>21</v>
      </c>
      <c r="F124" s="5"/>
    </row>
    <row r="125" customFormat="false" ht="15" hidden="false" customHeight="false" outlineLevel="0" collapsed="false">
      <c r="A125" s="5" t="n">
        <v>122</v>
      </c>
      <c r="B125" s="5" t="s">
        <v>2390</v>
      </c>
      <c r="C125" s="5" t="n">
        <v>6</v>
      </c>
      <c r="D125" s="5" t="n">
        <v>3</v>
      </c>
      <c r="E125" s="6" t="s">
        <v>21</v>
      </c>
      <c r="F125" s="5"/>
    </row>
    <row r="126" customFormat="false" ht="15" hidden="false" customHeight="false" outlineLevel="0" collapsed="false">
      <c r="A126" s="5" t="n">
        <v>123</v>
      </c>
      <c r="B126" s="5" t="s">
        <v>2391</v>
      </c>
      <c r="C126" s="5" t="n">
        <v>5</v>
      </c>
      <c r="D126" s="5" t="n">
        <v>1764</v>
      </c>
      <c r="E126" s="6" t="s">
        <v>21</v>
      </c>
      <c r="F126" s="5"/>
    </row>
    <row r="127" customFormat="false" ht="15" hidden="false" customHeight="false" outlineLevel="0" collapsed="false">
      <c r="A127" s="5" t="n">
        <v>124</v>
      </c>
      <c r="B127" s="5" t="s">
        <v>2392</v>
      </c>
      <c r="C127" s="5" t="n">
        <v>5</v>
      </c>
      <c r="D127" s="5" t="n">
        <v>1312</v>
      </c>
      <c r="E127" s="6" t="s">
        <v>21</v>
      </c>
      <c r="F127" s="5"/>
    </row>
    <row r="128" customFormat="false" ht="15" hidden="false" customHeight="false" outlineLevel="0" collapsed="false">
      <c r="A128" s="5" t="n">
        <v>125</v>
      </c>
      <c r="B128" s="5" t="s">
        <v>2393</v>
      </c>
      <c r="C128" s="5" t="n">
        <v>5</v>
      </c>
      <c r="D128" s="5" t="n">
        <v>828</v>
      </c>
      <c r="E128" s="6" t="s">
        <v>21</v>
      </c>
      <c r="F128" s="5"/>
    </row>
    <row r="129" customFormat="false" ht="15" hidden="false" customHeight="false" outlineLevel="0" collapsed="false">
      <c r="A129" s="5" t="n">
        <v>126</v>
      </c>
      <c r="B129" s="5" t="s">
        <v>2394</v>
      </c>
      <c r="C129" s="5" t="n">
        <v>5</v>
      </c>
      <c r="D129" s="5" t="n">
        <v>157</v>
      </c>
      <c r="E129" s="6" t="s">
        <v>21</v>
      </c>
      <c r="F129" s="5"/>
    </row>
    <row r="130" customFormat="false" ht="15" hidden="false" customHeight="false" outlineLevel="0" collapsed="false">
      <c r="A130" s="5" t="n">
        <v>127</v>
      </c>
      <c r="B130" s="5" t="s">
        <v>2395</v>
      </c>
      <c r="C130" s="5" t="n">
        <v>5</v>
      </c>
      <c r="D130" s="5" t="n">
        <v>50</v>
      </c>
      <c r="E130" s="6" t="s">
        <v>21</v>
      </c>
      <c r="F130" s="5"/>
    </row>
    <row r="131" customFormat="false" ht="15" hidden="false" customHeight="false" outlineLevel="0" collapsed="false">
      <c r="A131" s="5" t="n">
        <v>128</v>
      </c>
      <c r="B131" s="5" t="s">
        <v>2396</v>
      </c>
      <c r="C131" s="5" t="n">
        <v>5</v>
      </c>
      <c r="D131" s="5" t="n">
        <v>24</v>
      </c>
      <c r="E131" s="6" t="s">
        <v>21</v>
      </c>
      <c r="F131" s="5"/>
    </row>
    <row r="132" customFormat="false" ht="15" hidden="false" customHeight="false" outlineLevel="0" collapsed="false">
      <c r="A132" s="5" t="n">
        <v>129</v>
      </c>
      <c r="B132" s="5" t="s">
        <v>2397</v>
      </c>
      <c r="C132" s="5" t="n">
        <v>5</v>
      </c>
      <c r="D132" s="5" t="n">
        <v>23</v>
      </c>
      <c r="E132" s="6" t="s">
        <v>21</v>
      </c>
      <c r="F132" s="5"/>
    </row>
    <row r="133" customFormat="false" ht="15" hidden="false" customHeight="false" outlineLevel="0" collapsed="false">
      <c r="A133" s="5" t="n">
        <v>130</v>
      </c>
      <c r="B133" s="5" t="s">
        <v>2398</v>
      </c>
      <c r="C133" s="5" t="n">
        <v>5</v>
      </c>
      <c r="D133" s="5" t="n">
        <v>19</v>
      </c>
      <c r="E133" s="6" t="s">
        <v>21</v>
      </c>
      <c r="F133" s="5"/>
    </row>
    <row r="134" customFormat="false" ht="15" hidden="false" customHeight="false" outlineLevel="0" collapsed="false">
      <c r="A134" s="5" t="n">
        <v>131</v>
      </c>
      <c r="B134" s="5" t="s">
        <v>2399</v>
      </c>
      <c r="C134" s="5" t="n">
        <v>5</v>
      </c>
      <c r="D134" s="5" t="n">
        <v>5</v>
      </c>
      <c r="E134" s="6" t="s">
        <v>21</v>
      </c>
      <c r="F134" s="5"/>
    </row>
    <row r="135" customFormat="false" ht="15" hidden="false" customHeight="false" outlineLevel="0" collapsed="false">
      <c r="A135" s="5" t="n">
        <v>132</v>
      </c>
      <c r="B135" s="5" t="s">
        <v>2400</v>
      </c>
      <c r="C135" s="5" t="n">
        <v>5</v>
      </c>
      <c r="D135" s="5" t="n">
        <v>5</v>
      </c>
      <c r="E135" s="6" t="s">
        <v>21</v>
      </c>
      <c r="F135" s="5"/>
    </row>
    <row r="136" customFormat="false" ht="15" hidden="false" customHeight="false" outlineLevel="0" collapsed="false">
      <c r="A136" s="5" t="n">
        <v>133</v>
      </c>
      <c r="B136" s="5" t="s">
        <v>2401</v>
      </c>
      <c r="C136" s="5" t="n">
        <v>5</v>
      </c>
      <c r="D136" s="5" t="n">
        <v>2</v>
      </c>
      <c r="E136" s="6" t="s">
        <v>21</v>
      </c>
      <c r="F136" s="5"/>
    </row>
    <row r="137" customFormat="false" ht="15" hidden="false" customHeight="false" outlineLevel="0" collapsed="false">
      <c r="A137" s="5" t="n">
        <v>134</v>
      </c>
      <c r="B137" s="5" t="s">
        <v>2402</v>
      </c>
      <c r="C137" s="5" t="n">
        <v>5</v>
      </c>
      <c r="D137" s="5" t="n">
        <v>2</v>
      </c>
      <c r="E137" s="6" t="s">
        <v>21</v>
      </c>
      <c r="F137" s="5"/>
    </row>
    <row r="138" customFormat="false" ht="15" hidden="false" customHeight="false" outlineLevel="0" collapsed="false">
      <c r="A138" s="5" t="n">
        <v>135</v>
      </c>
      <c r="B138" s="5" t="s">
        <v>2403</v>
      </c>
      <c r="C138" s="5" t="n">
        <v>5</v>
      </c>
      <c r="D138" s="5" t="n">
        <v>2</v>
      </c>
      <c r="E138" s="6" t="s">
        <v>21</v>
      </c>
      <c r="F138" s="5"/>
    </row>
    <row r="139" customFormat="false" ht="15" hidden="false" customHeight="false" outlineLevel="0" collapsed="false">
      <c r="A139" s="5" t="n">
        <v>136</v>
      </c>
      <c r="B139" s="5" t="s">
        <v>2404</v>
      </c>
      <c r="C139" s="5" t="n">
        <v>5</v>
      </c>
      <c r="D139" s="5" t="n">
        <v>0</v>
      </c>
      <c r="E139" s="6" t="s">
        <v>21</v>
      </c>
      <c r="F139" s="5"/>
    </row>
    <row r="140" customFormat="false" ht="15" hidden="false" customHeight="false" outlineLevel="0" collapsed="false">
      <c r="A140" s="5" t="n">
        <v>137</v>
      </c>
      <c r="B140" s="7"/>
      <c r="C140" s="7"/>
      <c r="D140" s="7"/>
      <c r="E140" s="8"/>
      <c r="F140" s="7"/>
    </row>
    <row r="141" customFormat="false" ht="15" hidden="false" customHeight="false" outlineLevel="0" collapsed="false">
      <c r="A141" s="5" t="n">
        <v>138</v>
      </c>
      <c r="B141" s="7"/>
      <c r="C141" s="7"/>
      <c r="D141" s="7"/>
      <c r="E141" s="8"/>
      <c r="F141" s="7"/>
    </row>
    <row r="142" customFormat="false" ht="15" hidden="false" customHeight="false" outlineLevel="0" collapsed="false">
      <c r="A142" s="5" t="n">
        <v>139</v>
      </c>
      <c r="B142" s="7"/>
      <c r="C142" s="7"/>
      <c r="D142" s="7"/>
      <c r="E142" s="8"/>
      <c r="F142" s="7"/>
    </row>
    <row r="143" customFormat="false" ht="15" hidden="false" customHeight="false" outlineLevel="0" collapsed="false">
      <c r="A143" s="5" t="n">
        <v>140</v>
      </c>
      <c r="B143" s="7"/>
      <c r="C143" s="7"/>
      <c r="D143" s="7"/>
      <c r="E143" s="8"/>
      <c r="F143" s="7"/>
    </row>
    <row r="144" customFormat="false" ht="15" hidden="false" customHeight="false" outlineLevel="0" collapsed="false">
      <c r="A144" s="5" t="n">
        <v>141</v>
      </c>
      <c r="B144" s="7"/>
      <c r="C144" s="7"/>
      <c r="D144" s="7"/>
      <c r="E144" s="8"/>
      <c r="F144" s="7"/>
    </row>
    <row r="145" customFormat="false" ht="15" hidden="false" customHeight="false" outlineLevel="0" collapsed="false">
      <c r="A145" s="5" t="n">
        <v>142</v>
      </c>
      <c r="B145" s="7"/>
      <c r="C145" s="7"/>
      <c r="D145" s="7"/>
      <c r="E145" s="8"/>
      <c r="F145" s="7"/>
    </row>
    <row r="146" customFormat="false" ht="15" hidden="false" customHeight="false" outlineLevel="0" collapsed="false">
      <c r="A146" s="5" t="n">
        <v>143</v>
      </c>
      <c r="B146" s="7"/>
      <c r="C146" s="7"/>
      <c r="D146" s="7"/>
      <c r="E146" s="8"/>
      <c r="F146" s="7"/>
    </row>
    <row r="147" customFormat="false" ht="15" hidden="false" customHeight="false" outlineLevel="0" collapsed="false">
      <c r="A147" s="5" t="n">
        <v>144</v>
      </c>
      <c r="B147" s="7"/>
      <c r="C147" s="7"/>
      <c r="D147" s="7"/>
      <c r="E147" s="8"/>
      <c r="F147" s="7"/>
    </row>
    <row r="148" customFormat="false" ht="15" hidden="false" customHeight="false" outlineLevel="0" collapsed="false">
      <c r="A148" s="5" t="n">
        <v>145</v>
      </c>
      <c r="B148" s="7"/>
      <c r="C148" s="7"/>
      <c r="D148" s="7"/>
      <c r="E148" s="8"/>
      <c r="F148" s="7"/>
    </row>
    <row r="149" customFormat="false" ht="15" hidden="false" customHeight="false" outlineLevel="0" collapsed="false">
      <c r="A149" s="5" t="n">
        <v>146</v>
      </c>
      <c r="B149" s="7"/>
      <c r="C149" s="7"/>
      <c r="D149" s="7"/>
      <c r="E149" s="8"/>
      <c r="F149" s="7"/>
    </row>
    <row r="150" customFormat="false" ht="15" hidden="false" customHeight="false" outlineLevel="0" collapsed="false">
      <c r="A150" s="5" t="n">
        <v>147</v>
      </c>
      <c r="B150" s="7"/>
      <c r="C150" s="7"/>
      <c r="D150" s="7"/>
      <c r="E150" s="8"/>
      <c r="F150" s="7"/>
    </row>
    <row r="151" customFormat="false" ht="15" hidden="false" customHeight="false" outlineLevel="0" collapsed="false">
      <c r="A151" s="5" t="n">
        <v>148</v>
      </c>
      <c r="B151" s="7"/>
      <c r="C151" s="7"/>
      <c r="D151" s="7"/>
      <c r="E151" s="8"/>
      <c r="F151" s="7"/>
    </row>
    <row r="152" customFormat="false" ht="15" hidden="false" customHeight="false" outlineLevel="0" collapsed="false">
      <c r="A152" s="5" t="n">
        <v>149</v>
      </c>
      <c r="B152" s="7"/>
      <c r="C152" s="7"/>
      <c r="D152" s="7"/>
      <c r="E152" s="8"/>
      <c r="F152" s="7"/>
    </row>
    <row r="153" customFormat="false" ht="15" hidden="false" customHeight="false" outlineLevel="0" collapsed="false">
      <c r="A153" s="5" t="n">
        <v>150</v>
      </c>
      <c r="B153" s="7"/>
      <c r="C153" s="7"/>
      <c r="D153" s="7"/>
      <c r="E153" s="8"/>
      <c r="F153" s="7"/>
    </row>
    <row r="154" customFormat="false" ht="15" hidden="false" customHeight="false" outlineLevel="0" collapsed="false">
      <c r="A154" s="5" t="n">
        <v>151</v>
      </c>
      <c r="B154" s="7"/>
      <c r="C154" s="7"/>
      <c r="D154" s="7"/>
      <c r="E154" s="8"/>
      <c r="F154" s="7"/>
    </row>
    <row r="155" customFormat="false" ht="15" hidden="false" customHeight="false" outlineLevel="0" collapsed="false">
      <c r="A155" s="5" t="n">
        <v>152</v>
      </c>
      <c r="B155" s="7"/>
      <c r="C155" s="7"/>
      <c r="D155" s="7"/>
      <c r="E155" s="8"/>
      <c r="F155" s="7"/>
    </row>
    <row r="156" customFormat="false" ht="15" hidden="false" customHeight="false" outlineLevel="0" collapsed="false">
      <c r="A156" s="5" t="n">
        <v>153</v>
      </c>
      <c r="B156" s="7"/>
      <c r="C156" s="7"/>
      <c r="D156" s="7"/>
      <c r="E156" s="8"/>
      <c r="F156" s="7"/>
    </row>
    <row r="157" customFormat="false" ht="15" hidden="false" customHeight="false" outlineLevel="0" collapsed="false">
      <c r="A157" s="5" t="n">
        <v>154</v>
      </c>
      <c r="B157" s="7"/>
      <c r="C157" s="7"/>
      <c r="D157" s="7"/>
      <c r="E157" s="8"/>
      <c r="F157" s="7"/>
    </row>
    <row r="158" customFormat="false" ht="15" hidden="false" customHeight="false" outlineLevel="0" collapsed="false">
      <c r="A158" s="5" t="n">
        <v>155</v>
      </c>
      <c r="B158" s="7"/>
      <c r="C158" s="7"/>
      <c r="D158" s="7"/>
      <c r="E158" s="8"/>
      <c r="F158" s="7"/>
    </row>
    <row r="159" customFormat="false" ht="15" hidden="false" customHeight="false" outlineLevel="0" collapsed="false">
      <c r="A159" s="5" t="n">
        <v>156</v>
      </c>
      <c r="B159" s="7"/>
      <c r="C159" s="7"/>
      <c r="D159" s="7"/>
      <c r="E159" s="8"/>
      <c r="F159" s="7"/>
    </row>
  </sheetData>
  <conditionalFormatting sqref="A4:F159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159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90"/>
  </cols>
  <sheetData>
    <row r="1" customFormat="false" ht="17.9" hidden="false" customHeight="false" outlineLevel="0" collapsed="false">
      <c r="A1" s="1" t="s">
        <v>2405</v>
      </c>
    </row>
    <row r="3" customFormat="false" ht="15" hidden="false" customHeight="false" outlineLevel="0" collapsed="false">
      <c r="A3" s="4" t="s">
        <v>23</v>
      </c>
      <c r="B3" s="4" t="s">
        <v>1482</v>
      </c>
      <c r="C3" s="4" t="s">
        <v>2406</v>
      </c>
      <c r="D3" s="4" t="s">
        <v>2407</v>
      </c>
      <c r="E3" s="4" t="s">
        <v>1369</v>
      </c>
      <c r="F3" s="4" t="s">
        <v>1417</v>
      </c>
    </row>
    <row r="4" customFormat="false" ht="15" hidden="false" customHeight="false" outlineLevel="0" collapsed="false">
      <c r="A4" s="9" t="n">
        <v>30</v>
      </c>
      <c r="B4" s="9" t="s">
        <v>2408</v>
      </c>
      <c r="C4" s="9" t="s">
        <v>2409</v>
      </c>
      <c r="D4" s="9" t="n">
        <f aca="false">LEN(F4)</f>
        <v>103</v>
      </c>
      <c r="E4" s="10" t="s">
        <v>21</v>
      </c>
      <c r="F4" s="11" t="s">
        <v>2410</v>
      </c>
    </row>
    <row r="5" customFormat="false" ht="15" hidden="false" customHeight="false" outlineLevel="0" collapsed="false">
      <c r="A5" s="9" t="n">
        <v>30</v>
      </c>
      <c r="B5" s="9" t="s">
        <v>2411</v>
      </c>
      <c r="C5" s="9" t="s">
        <v>1329</v>
      </c>
      <c r="D5" s="9" t="n">
        <f aca="false">LEN(F5)</f>
        <v>88</v>
      </c>
      <c r="E5" s="10" t="s">
        <v>21</v>
      </c>
      <c r="F5" s="11" t="s">
        <v>2412</v>
      </c>
    </row>
    <row r="6" customFormat="false" ht="15" hidden="false" customHeight="false" outlineLevel="0" collapsed="false">
      <c r="A6" s="9" t="n">
        <v>30</v>
      </c>
      <c r="B6" s="9" t="s">
        <v>2413</v>
      </c>
      <c r="C6" s="9" t="s">
        <v>2414</v>
      </c>
      <c r="D6" s="9" t="n">
        <f aca="false">LEN(F6)</f>
        <v>92</v>
      </c>
      <c r="E6" s="10" t="s">
        <v>21</v>
      </c>
      <c r="F6" s="11" t="s">
        <v>2415</v>
      </c>
    </row>
    <row r="7" customFormat="false" ht="15" hidden="false" customHeight="false" outlineLevel="0" collapsed="false">
      <c r="A7" s="9" t="n">
        <v>30</v>
      </c>
      <c r="B7" s="9" t="s">
        <v>2416</v>
      </c>
      <c r="C7" s="9" t="s">
        <v>2417</v>
      </c>
      <c r="D7" s="9" t="n">
        <f aca="false">LEN(F7)</f>
        <v>101</v>
      </c>
      <c r="E7" s="10" t="s">
        <v>21</v>
      </c>
      <c r="F7" s="11" t="s">
        <v>2418</v>
      </c>
    </row>
    <row r="8" customFormat="false" ht="15" hidden="false" customHeight="false" outlineLevel="0" collapsed="false">
      <c r="A8" s="9" t="n">
        <v>30</v>
      </c>
      <c r="B8" s="9" t="s">
        <v>2419</v>
      </c>
      <c r="C8" s="9" t="s">
        <v>2420</v>
      </c>
      <c r="D8" s="9" t="n">
        <f aca="false">LEN(F8)</f>
        <v>106</v>
      </c>
      <c r="E8" s="10" t="s">
        <v>21</v>
      </c>
      <c r="F8" s="11" t="s">
        <v>2421</v>
      </c>
    </row>
    <row r="9" customFormat="false" ht="35.05" hidden="false" customHeight="false" outlineLevel="0" collapsed="false">
      <c r="A9" s="9" t="n">
        <v>31</v>
      </c>
      <c r="B9" s="9" t="s">
        <v>2422</v>
      </c>
      <c r="C9" s="9" t="s">
        <v>2423</v>
      </c>
      <c r="D9" s="9" t="n">
        <f aca="false">LEN(F9)</f>
        <v>332</v>
      </c>
      <c r="E9" s="10" t="s">
        <v>21</v>
      </c>
      <c r="F9" s="11" t="s">
        <v>2424</v>
      </c>
    </row>
    <row r="10" customFormat="false" ht="35.05" hidden="false" customHeight="false" outlineLevel="0" collapsed="false">
      <c r="A10" s="9" t="n">
        <v>31</v>
      </c>
      <c r="B10" s="9" t="s">
        <v>2425</v>
      </c>
      <c r="C10" s="9" t="s">
        <v>2426</v>
      </c>
      <c r="D10" s="9" t="n">
        <f aca="false">LEN(F10)</f>
        <v>296</v>
      </c>
      <c r="E10" s="10" t="s">
        <v>21</v>
      </c>
      <c r="F10" s="11" t="s">
        <v>2427</v>
      </c>
    </row>
    <row r="11" customFormat="false" ht="46.25" hidden="false" customHeight="false" outlineLevel="0" collapsed="false">
      <c r="A11" s="9" t="n">
        <v>31</v>
      </c>
      <c r="B11" s="9" t="s">
        <v>2428</v>
      </c>
      <c r="C11" s="9" t="s">
        <v>2429</v>
      </c>
      <c r="D11" s="9" t="n">
        <f aca="false">LEN(F11)</f>
        <v>344</v>
      </c>
      <c r="E11" s="10" t="s">
        <v>21</v>
      </c>
      <c r="F11" s="11" t="s">
        <v>2430</v>
      </c>
    </row>
    <row r="12" customFormat="false" ht="46.25" hidden="false" customHeight="false" outlineLevel="0" collapsed="false">
      <c r="A12" s="9" t="n">
        <v>31</v>
      </c>
      <c r="B12" s="9" t="s">
        <v>2431</v>
      </c>
      <c r="C12" s="9" t="s">
        <v>2432</v>
      </c>
      <c r="D12" s="9" t="n">
        <f aca="false">LEN(F12)</f>
        <v>347</v>
      </c>
      <c r="E12" s="10" t="s">
        <v>21</v>
      </c>
      <c r="F12" s="11" t="s">
        <v>2433</v>
      </c>
    </row>
    <row r="13" customFormat="false" ht="35.05" hidden="false" customHeight="false" outlineLevel="0" collapsed="false">
      <c r="A13" s="9" t="n">
        <v>31</v>
      </c>
      <c r="B13" s="9" t="s">
        <v>2434</v>
      </c>
      <c r="C13" s="9" t="s">
        <v>2435</v>
      </c>
      <c r="D13" s="9" t="n">
        <f aca="false">LEN(F13)</f>
        <v>343</v>
      </c>
      <c r="E13" s="10" t="s">
        <v>21</v>
      </c>
      <c r="F13" s="11" t="s">
        <v>2436</v>
      </c>
    </row>
    <row r="14" customFormat="false" ht="46.25" hidden="false" customHeight="false" outlineLevel="0" collapsed="false">
      <c r="A14" s="9" t="n">
        <v>32</v>
      </c>
      <c r="B14" s="9" t="s">
        <v>2437</v>
      </c>
      <c r="C14" s="9" t="s">
        <v>2438</v>
      </c>
      <c r="D14" s="9" t="n">
        <f aca="false">LEN(F14)</f>
        <v>400</v>
      </c>
      <c r="E14" s="10" t="s">
        <v>21</v>
      </c>
      <c r="F14" s="11" t="s">
        <v>2439</v>
      </c>
    </row>
    <row r="15" customFormat="false" ht="46.25" hidden="false" customHeight="false" outlineLevel="0" collapsed="false">
      <c r="A15" s="9" t="n">
        <v>32</v>
      </c>
      <c r="B15" s="9" t="s">
        <v>2440</v>
      </c>
      <c r="C15" s="9" t="s">
        <v>1798</v>
      </c>
      <c r="D15" s="9" t="n">
        <f aca="false">LEN(F15)</f>
        <v>388</v>
      </c>
      <c r="E15" s="10" t="s">
        <v>21</v>
      </c>
      <c r="F15" s="11" t="s">
        <v>2441</v>
      </c>
    </row>
    <row r="16" customFormat="false" ht="46.25" hidden="false" customHeight="false" outlineLevel="0" collapsed="false">
      <c r="A16" s="9" t="n">
        <v>32</v>
      </c>
      <c r="B16" s="9" t="s">
        <v>2442</v>
      </c>
      <c r="C16" s="9" t="s">
        <v>2443</v>
      </c>
      <c r="D16" s="9" t="n">
        <f aca="false">LEN(F16)</f>
        <v>416</v>
      </c>
      <c r="E16" s="10" t="s">
        <v>21</v>
      </c>
      <c r="F16" s="11" t="s">
        <v>2444</v>
      </c>
    </row>
    <row r="17" customFormat="false" ht="46.25" hidden="false" customHeight="false" outlineLevel="0" collapsed="false">
      <c r="A17" s="9" t="n">
        <v>32</v>
      </c>
      <c r="B17" s="9" t="s">
        <v>2445</v>
      </c>
      <c r="C17" s="9" t="s">
        <v>2446</v>
      </c>
      <c r="D17" s="9" t="n">
        <f aca="false">LEN(F17)</f>
        <v>431</v>
      </c>
      <c r="E17" s="10" t="s">
        <v>21</v>
      </c>
      <c r="F17" s="11" t="s">
        <v>2447</v>
      </c>
    </row>
    <row r="18" customFormat="false" ht="46.25" hidden="false" customHeight="false" outlineLevel="0" collapsed="false">
      <c r="A18" s="9" t="n">
        <v>32</v>
      </c>
      <c r="B18" s="9" t="s">
        <v>2448</v>
      </c>
      <c r="C18" s="9" t="s">
        <v>2449</v>
      </c>
      <c r="D18" s="9" t="n">
        <f aca="false">LEN(F18)</f>
        <v>440</v>
      </c>
      <c r="E18" s="10" t="s">
        <v>21</v>
      </c>
      <c r="F18" s="11" t="s">
        <v>2450</v>
      </c>
    </row>
    <row r="19" customFormat="false" ht="41.75" hidden="false" customHeight="false" outlineLevel="0" collapsed="false">
      <c r="A19" s="9" t="n">
        <v>33</v>
      </c>
      <c r="B19" s="9" t="s">
        <v>2451</v>
      </c>
      <c r="C19" s="9" t="s">
        <v>2452</v>
      </c>
      <c r="D19" s="9" t="n">
        <f aca="false">LEN(F19)</f>
        <v>287</v>
      </c>
      <c r="E19" s="10" t="s">
        <v>21</v>
      </c>
      <c r="F19" s="11" t="s">
        <v>2453</v>
      </c>
    </row>
    <row r="20" customFormat="false" ht="52.95" hidden="false" customHeight="false" outlineLevel="0" collapsed="false">
      <c r="A20" s="9" t="n">
        <v>33</v>
      </c>
      <c r="B20" s="9" t="s">
        <v>2454</v>
      </c>
      <c r="C20" s="9" t="s">
        <v>2455</v>
      </c>
      <c r="D20" s="9" t="n">
        <f aca="false">LEN(F20)</f>
        <v>342</v>
      </c>
      <c r="E20" s="10" t="s">
        <v>21</v>
      </c>
      <c r="F20" s="11" t="s">
        <v>2456</v>
      </c>
    </row>
    <row r="21" customFormat="false" ht="55.2" hidden="false" customHeight="false" outlineLevel="0" collapsed="false">
      <c r="A21" s="9" t="n">
        <v>33</v>
      </c>
      <c r="B21" s="9" t="s">
        <v>2457</v>
      </c>
      <c r="C21" s="9" t="s">
        <v>2458</v>
      </c>
      <c r="D21" s="9" t="n">
        <f aca="false">LEN(F21)</f>
        <v>374</v>
      </c>
      <c r="E21" s="10" t="s">
        <v>21</v>
      </c>
      <c r="F21" s="11" t="s">
        <v>2459</v>
      </c>
    </row>
    <row r="22" customFormat="false" ht="41.75" hidden="false" customHeight="false" outlineLevel="0" collapsed="false">
      <c r="A22" s="9" t="n">
        <v>33</v>
      </c>
      <c r="B22" s="9" t="s">
        <v>2460</v>
      </c>
      <c r="C22" s="9" t="s">
        <v>2461</v>
      </c>
      <c r="D22" s="9" t="n">
        <f aca="false">LEN(F22)</f>
        <v>328</v>
      </c>
      <c r="E22" s="10" t="s">
        <v>21</v>
      </c>
      <c r="F22" s="11" t="s">
        <v>2462</v>
      </c>
    </row>
    <row r="23" customFormat="false" ht="55.2" hidden="false" customHeight="false" outlineLevel="0" collapsed="false">
      <c r="A23" s="9" t="n">
        <v>33</v>
      </c>
      <c r="B23" s="9" t="s">
        <v>2463</v>
      </c>
      <c r="C23" s="9" t="s">
        <v>2464</v>
      </c>
      <c r="D23" s="9" t="n">
        <f aca="false">LEN(F23)</f>
        <v>376</v>
      </c>
      <c r="E23" s="10" t="s">
        <v>21</v>
      </c>
      <c r="F23" s="11" t="s">
        <v>2465</v>
      </c>
    </row>
    <row r="24" customFormat="false" ht="79.85" hidden="false" customHeight="false" outlineLevel="0" collapsed="false">
      <c r="A24" s="9" t="n">
        <v>34</v>
      </c>
      <c r="B24" s="9" t="s">
        <v>2466</v>
      </c>
      <c r="C24" s="9" t="s">
        <v>2467</v>
      </c>
      <c r="D24" s="9" t="n">
        <f aca="false">LEN(F24)</f>
        <v>724</v>
      </c>
      <c r="E24" s="10" t="s">
        <v>21</v>
      </c>
      <c r="F24" s="11" t="s">
        <v>2468</v>
      </c>
    </row>
    <row r="25" customFormat="false" ht="79.85" hidden="false" customHeight="false" outlineLevel="0" collapsed="false">
      <c r="A25" s="9" t="n">
        <v>34</v>
      </c>
      <c r="B25" s="9" t="s">
        <v>2469</v>
      </c>
      <c r="C25" s="9" t="s">
        <v>2470</v>
      </c>
      <c r="D25" s="9" t="n">
        <f aca="false">LEN(F25)</f>
        <v>724</v>
      </c>
      <c r="E25" s="10" t="s">
        <v>21</v>
      </c>
      <c r="F25" s="11" t="s">
        <v>2471</v>
      </c>
    </row>
    <row r="26" customFormat="false" ht="102.2" hidden="false" customHeight="false" outlineLevel="0" collapsed="false">
      <c r="A26" s="9" t="n">
        <v>34</v>
      </c>
      <c r="B26" s="9" t="s">
        <v>2472</v>
      </c>
      <c r="C26" s="9" t="s">
        <v>2473</v>
      </c>
      <c r="D26" s="9" t="n">
        <f aca="false">LEN(F26)</f>
        <v>912</v>
      </c>
      <c r="E26" s="10" t="s">
        <v>21</v>
      </c>
      <c r="F26" s="11" t="s">
        <v>2474</v>
      </c>
    </row>
    <row r="27" customFormat="false" ht="91" hidden="false" customHeight="false" outlineLevel="0" collapsed="false">
      <c r="A27" s="9" t="n">
        <v>34</v>
      </c>
      <c r="B27" s="9" t="s">
        <v>2475</v>
      </c>
      <c r="C27" s="9" t="s">
        <v>2476</v>
      </c>
      <c r="D27" s="9" t="n">
        <f aca="false">LEN(F27)</f>
        <v>856</v>
      </c>
      <c r="E27" s="10" t="s">
        <v>21</v>
      </c>
      <c r="F27" s="11" t="s">
        <v>2477</v>
      </c>
    </row>
    <row r="28" customFormat="false" ht="15" hidden="false" customHeight="false" outlineLevel="0" collapsed="false">
      <c r="A28" s="7"/>
      <c r="B28" s="7"/>
      <c r="C28" s="7"/>
      <c r="D28" s="5" t="str">
        <f aca="false">IF(F28="","",LEN(F28))</f>
        <v/>
      </c>
      <c r="E28" s="8"/>
      <c r="F28" s="7"/>
    </row>
    <row r="29" customFormat="false" ht="15" hidden="false" customHeight="false" outlineLevel="0" collapsed="false">
      <c r="A29" s="7"/>
      <c r="B29" s="7"/>
      <c r="C29" s="7"/>
      <c r="D29" s="5" t="str">
        <f aca="false">IF(F29="","",LEN(F29))</f>
        <v/>
      </c>
      <c r="E29" s="8"/>
      <c r="F29" s="7"/>
    </row>
    <row r="30" customFormat="false" ht="15" hidden="false" customHeight="false" outlineLevel="0" collapsed="false">
      <c r="A30" s="7"/>
      <c r="B30" s="7"/>
      <c r="C30" s="7"/>
      <c r="D30" s="5" t="str">
        <f aca="false">IF(F30="","",LEN(F30))</f>
        <v/>
      </c>
      <c r="E30" s="8"/>
      <c r="F30" s="7"/>
    </row>
    <row r="31" customFormat="false" ht="15" hidden="false" customHeight="false" outlineLevel="0" collapsed="false">
      <c r="A31" s="7"/>
      <c r="B31" s="7"/>
      <c r="C31" s="7"/>
      <c r="D31" s="5" t="str">
        <f aca="false">IF(F31="","",LEN(F31))</f>
        <v/>
      </c>
      <c r="E31" s="8"/>
      <c r="F31" s="7"/>
    </row>
    <row r="32" customFormat="false" ht="15" hidden="false" customHeight="false" outlineLevel="0" collapsed="false">
      <c r="A32" s="7"/>
      <c r="B32" s="7"/>
      <c r="C32" s="7"/>
      <c r="D32" s="5" t="str">
        <f aca="false">IF(F32="","",LEN(F32))</f>
        <v/>
      </c>
      <c r="E32" s="8"/>
      <c r="F32" s="7"/>
    </row>
    <row r="33" customFormat="false" ht="15" hidden="false" customHeight="false" outlineLevel="0" collapsed="false">
      <c r="A33" s="7"/>
      <c r="B33" s="7"/>
      <c r="C33" s="7"/>
      <c r="D33" s="5" t="str">
        <f aca="false">IF(F33="","",LEN(F33))</f>
        <v/>
      </c>
      <c r="E33" s="8"/>
      <c r="F33" s="7"/>
    </row>
    <row r="34" customFormat="false" ht="15" hidden="false" customHeight="false" outlineLevel="0" collapsed="false">
      <c r="A34" s="7"/>
      <c r="B34" s="7"/>
      <c r="C34" s="7"/>
      <c r="D34" s="5" t="str">
        <f aca="false">IF(F34="","",LEN(F34))</f>
        <v/>
      </c>
      <c r="E34" s="8"/>
      <c r="F34" s="7"/>
    </row>
    <row r="35" customFormat="false" ht="15" hidden="false" customHeight="false" outlineLevel="0" collapsed="false">
      <c r="A35" s="7"/>
      <c r="B35" s="7"/>
      <c r="C35" s="7"/>
      <c r="D35" s="5" t="str">
        <f aca="false">IF(F35="","",LEN(F35))</f>
        <v/>
      </c>
      <c r="E35" s="8"/>
      <c r="F35" s="7"/>
    </row>
    <row r="36" customFormat="false" ht="15" hidden="false" customHeight="false" outlineLevel="0" collapsed="false">
      <c r="A36" s="7"/>
      <c r="B36" s="7"/>
      <c r="C36" s="7"/>
      <c r="D36" s="5" t="str">
        <f aca="false">IF(F36="","",LEN(F36))</f>
        <v/>
      </c>
      <c r="E36" s="8"/>
      <c r="F36" s="7"/>
    </row>
    <row r="37" customFormat="false" ht="15" hidden="false" customHeight="false" outlineLevel="0" collapsed="false">
      <c r="A37" s="7"/>
      <c r="B37" s="7"/>
      <c r="C37" s="7"/>
      <c r="D37" s="5" t="str">
        <f aca="false">IF(F37="","",LEN(F37))</f>
        <v/>
      </c>
      <c r="E37" s="8"/>
      <c r="F37" s="7"/>
    </row>
  </sheetData>
  <conditionalFormatting sqref="A4:F37">
    <cfRule type="expression" priority="2" aboveAverage="0" equalAverage="0" bottom="0" percent="0" rank="0" text="" dxfId="0">
      <formula>$E4="✗"</formula>
    </cfRule>
  </conditionalFormatting>
  <dataValidations count="1">
    <dataValidation allowBlank="true" errorStyle="stop" operator="between" showDropDown="false" showErrorMessage="false" showInputMessage="false" sqref="E4:E37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2026-10-03T18:40:22Z</dcterms:created>
  <dc:creator>openpyxl</dc:creator>
  <dc:description/>
  <dc:language>en-US</dc:language>
  <cp:lastModifiedBy/>
  <dcterms:modified xsi:type="dcterms:W3CDTF">2026-10-03T18:40:23Z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